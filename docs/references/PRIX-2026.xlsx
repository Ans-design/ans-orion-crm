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525"/>
  <workbookPr defaultThemeVersion="153222"/>
  <bookViews>
    <workbookView xWindow="-120" yWindow="-120" windowWidth="-26896" windowHeight="21120" firstSheet="32" activeTab="3"/>
  </bookViews>
  <sheets>
    <sheet name="RELIURE" sheetId="1" r:id="rId1"/>
    <sheet name="Pelliculage" sheetId="2" r:id="rId2"/>
    <sheet name="Plastification" sheetId="3" r:id="rId3"/>
    <sheet name="PAPIER 80 G" sheetId="4" r:id="rId4"/>
    <sheet name="PAPIER 90 à 135 G" sheetId="5" r:id="rId5"/>
    <sheet name="PAPIER 135 à 170 G" sheetId="6" r:id="rId6"/>
    <sheet name="PAPIER 170-300 G" sheetId="7" r:id="rId7"/>
    <sheet name="PAPIER 350 G" sheetId="8" r:id="rId8"/>
    <sheet name="PAPIER 600 G contre collé" sheetId="9" r:id="rId9"/>
    <sheet name="PAPIER 700 G contre collé" sheetId="10" r:id="rId10"/>
    <sheet name="PAPIER cover luxe 900 G" sheetId="11" r:id="rId11"/>
    <sheet name="PAPIER Toile fin" sheetId="12" r:id="rId12"/>
    <sheet name="PAPIER invitation luxe" sheetId="13" r:id="rId13"/>
    <sheet name="PAPIER Autocollant" sheetId="14" r:id="rId14"/>
    <sheet name="PVC Translucide" sheetId="15" r:id="rId15"/>
    <sheet name="PVC opaque" sheetId="16" r:id="rId16"/>
    <sheet name="Sublimation" sheetId="17" r:id="rId17"/>
    <sheet name="Flyers" sheetId="18" r:id="rId18"/>
    <sheet name="Carte de visite" sheetId="19" r:id="rId19"/>
    <sheet name="P P Indechirable grand format" sheetId="20" r:id="rId20"/>
    <sheet name="P PHOTO GRAND FORMAT" sheetId="21" r:id="rId21"/>
    <sheet name="TIRAGE PHOTO" sheetId="22" r:id="rId22"/>
    <sheet name="POSTER EN PVC" sheetId="23" r:id="rId23"/>
    <sheet name="PLEXIGLASS" sheetId="24" r:id="rId24"/>
    <sheet name="Vinyle blanc 150 cm" sheetId="25" r:id="rId25"/>
    <sheet name="Bache 180 cm" sheetId="26" r:id="rId26"/>
    <sheet name="Bache 240  et 320 cm&amp; dos blanc" sheetId="27" r:id="rId27"/>
    <sheet name="vinyle transparent" sheetId="28" r:id="rId28"/>
    <sheet name=" Papier dos bleu" sheetId="29" r:id="rId29"/>
    <sheet name="Oneway Vision" sheetId="30" r:id="rId30"/>
    <sheet name="Frosted film sablé" sheetId="31" r:id="rId31"/>
    <sheet name="Autocollant reflechissant" sheetId="32" r:id="rId32"/>
    <sheet name="Tissus drapeau" sheetId="33" r:id="rId33"/>
    <sheet name="Finition&amp;faconnage" sheetId="34" r:id="rId34"/>
    <sheet name="T-Shirt 170 G" sheetId="35" r:id="rId35"/>
    <sheet name="Polo 220 G" sheetId="36" r:id="rId36"/>
    <sheet name="Casquette" sheetId="37" r:id="rId37"/>
    <sheet name="BOB" sheetId="38" r:id="rId38"/>
    <sheet name="Trousse" sheetId="39" r:id="rId39"/>
    <sheet name="MUG" sheetId="40" r:id="rId40"/>
    <sheet name="TOTEBAG" sheetId="41" r:id="rId41"/>
    <sheet name="STYLO" sheetId="42" r:id="rId42"/>
    <sheet name="Pins" sheetId="43" r:id="rId43"/>
    <sheet name="Gourde" sheetId="44" r:id="rId44"/>
    <sheet name="Sweat" sheetId="45" r:id="rId45"/>
    <sheet name="Roll up" sheetId="46" r:id="rId46"/>
    <sheet name="X-Banner" sheetId="47" r:id="rId4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<sst xmlns="http://schemas.openxmlformats.org/spreadsheetml/2006/main" uniqueCount="516" count="516">
  <si>
    <t>Feuilles max (80g)</t>
  </si>
  <si>
    <t>Feuilles (120–170g)</t>
  </si>
  <si>
    <t>Feuilles (250–300g)</t>
  </si>
  <si>
    <t>Prix unifié (Ar)</t>
  </si>
  <si>
    <t>Plastique</t>
  </si>
  <si>
    <t>Métallique</t>
  </si>
  <si>
    <t>1/4″</t>
  </si>
  <si>
    <t>jusqu’à 10</t>
  </si>
  <si>
    <t>jusqu’à 6</t>
  </si>
  <si>
    <t>jusqu’à 1</t>
  </si>
  <si>
    <t>✓</t>
  </si>
  <si>
    <t>5/16″</t>
  </si>
  <si>
    <t>jusqu’à 30</t>
  </si>
  <si>
    <t>jusqu’à 17</t>
  </si>
  <si>
    <t>jusqu’à 7</t>
  </si>
  <si>
    <t>3/8″</t>
  </si>
  <si>
    <t>jusqu’à 50</t>
  </si>
  <si>
    <t>jusqu’à 28</t>
  </si>
  <si>
    <t>jusqu’à 12</t>
  </si>
  <si>
    <t>7/16″</t>
  </si>
  <si>
    <t>jusqu’à 70</t>
  </si>
  <si>
    <t>jusqu’à 38</t>
  </si>
  <si>
    <t>jusqu’à 18</t>
  </si>
  <si>
    <t>9/16″</t>
  </si>
  <si>
    <t>jusqu’à 90</t>
  </si>
  <si>
    <t>jusqu’à 23</t>
  </si>
  <si>
    <t>5/8″</t>
  </si>
  <si>
    <t>jusqu’à 110</t>
  </si>
  <si>
    <t>jusqu’à 61</t>
  </si>
  <si>
    <t>jusqu’à 29</t>
  </si>
  <si>
    <t>3/4″</t>
  </si>
  <si>
    <t>jusqu’à 130</t>
  </si>
  <si>
    <t>jusqu’à 72</t>
  </si>
  <si>
    <t>jusqu’à 34</t>
  </si>
  <si>
    <t>13/16″</t>
  </si>
  <si>
    <t>jusqu’à 150</t>
  </si>
  <si>
    <t>jusqu’à 82</t>
  </si>
  <si>
    <t>jusqu’à 40</t>
  </si>
  <si>
    <t>7/8″</t>
  </si>
  <si>
    <t>jusqu’à 170</t>
  </si>
  <si>
    <t>jusqu’à 93</t>
  </si>
  <si>
    <t>jusqu’à 45</t>
  </si>
  <si>
    <t>15/16″</t>
  </si>
  <si>
    <t>jusqu’à 190</t>
  </si>
  <si>
    <t>jusqu’à 104</t>
  </si>
  <si>
    <t>jusqu’à 51</t>
  </si>
  <si>
    <t>1″</t>
  </si>
  <si>
    <t>jusqu’à 210</t>
  </si>
  <si>
    <t>jusqu’à 114</t>
  </si>
  <si>
    <t>jusqu’à 57</t>
  </si>
  <si>
    <t>Plastique/metallique</t>
  </si>
  <si>
    <t>references (mm)</t>
  </si>
  <si>
    <t>Réf. Agrafe</t>
  </si>
  <si>
    <t>Feuilles max (80 g)</t>
  </si>
  <si>
    <t>Feuilles max (120–170 g)</t>
  </si>
  <si>
    <t>Prix (Ar)</t>
  </si>
  <si>
    <t>6 mm</t>
  </si>
  <si>
    <t>jusqu’à 20</t>
  </si>
  <si>
    <t>8 mm</t>
  </si>
  <si>
    <t>jusqu’à 25</t>
  </si>
  <si>
    <t>10 mm</t>
  </si>
  <si>
    <t>jusqu’à 60</t>
  </si>
  <si>
    <t>jusqu’à 37</t>
  </si>
  <si>
    <t>13 mm</t>
  </si>
  <si>
    <t>jusqu’à 55</t>
  </si>
  <si>
    <t>15 mm</t>
  </si>
  <si>
    <t>jusqu’à 120</t>
  </si>
  <si>
    <t>jusqu’à 75</t>
  </si>
  <si>
    <t>Piqure à cheval</t>
  </si>
  <si>
    <t>23/006</t>
  </si>
  <si>
    <t>23/008</t>
  </si>
  <si>
    <t>23/010</t>
  </si>
  <si>
    <t>23/013</t>
  </si>
  <si>
    <t>23/015</t>
  </si>
  <si>
    <t>references
Pouces</t>
  </si>
  <si>
    <t>Longueur 
des pattes</t>
  </si>
  <si>
    <t>Pages (80g)</t>
  </si>
  <si>
    <t>Pages (120–170g)</t>
  </si>
  <si>
    <t>Pages (250–300g)</t>
  </si>
  <si>
    <t>Épaisseur estimée</t>
  </si>
  <si>
    <t>20 à 30</t>
  </si>
  <si>
    <t>4 à 6 mm</t>
  </si>
  <si>
    <t>31 à 50</t>
  </si>
  <si>
    <t>6 à 9 mm</t>
  </si>
  <si>
    <t>9 à 12 mm</t>
  </si>
  <si>
    <t>71 à 90</t>
  </si>
  <si>
    <t>12 à 15 mm</t>
  </si>
  <si>
    <t>91 à 110</t>
  </si>
  <si>
    <t>15 à 18 mm</t>
  </si>
  <si>
    <t>111 à 130</t>
  </si>
  <si>
    <t>18 à 21 mm</t>
  </si>
  <si>
    <t>131 à 150</t>
  </si>
  <si>
    <t>21 à 24 mm</t>
  </si>
  <si>
    <t>24 à 27 mm</t>
  </si>
  <si>
    <t>Dos carré collé</t>
  </si>
  <si>
    <t>15 à 25</t>
  </si>
  <si>
    <t>10 à 15</t>
  </si>
  <si>
    <t>26 à 40</t>
  </si>
  <si>
    <t>16 à 25</t>
  </si>
  <si>
    <t>51 à 60</t>
  </si>
  <si>
    <t>41 à 60</t>
  </si>
  <si>
    <t>26 à 35</t>
  </si>
  <si>
    <t>61 à 80</t>
  </si>
  <si>
    <t>61 à 70</t>
  </si>
  <si>
    <t>36 à 45</t>
  </si>
  <si>
    <t>81 à 100</t>
  </si>
  <si>
    <t>46 à 55</t>
  </si>
  <si>
    <t>101 à 120</t>
  </si>
  <si>
    <t>56 à 65</t>
  </si>
  <si>
    <t>121 à 140</t>
  </si>
  <si>
    <t>66 à 75</t>
  </si>
  <si>
    <t>141 à 160</t>
  </si>
  <si>
    <t>76 à 85</t>
  </si>
  <si>
    <t>💲 Remise appliquée</t>
  </si>
  <si>
    <t>1 à 9 exemplaires</t>
  </si>
  <si>
    <t>10 à 39 exemplaires</t>
  </si>
  <si>
    <t>40 à 79 exemplaires</t>
  </si>
  <si>
    <t>80 à 129 exemplaires</t>
  </si>
  <si>
    <t>130 à 200 exemplaires</t>
  </si>
  <si>
    <t>Remise prix</t>
  </si>
  <si>
    <t>📦 Quantité d’exemplaire</t>
  </si>
  <si>
    <t>🧾 Prix unitaire de base</t>
  </si>
  <si>
    <t>🏷️ Prix après remise (par unité)</t>
  </si>
  <si>
    <t>💰 Total (pour la quantité)</t>
  </si>
  <si>
    <t>15 000 Ar</t>
  </si>
  <si>
    <t>15 000 × 5 = 75 000 Ar</t>
  </si>
  <si>
    <t>13 500 Ar</t>
  </si>
  <si>
    <t>13 500 × 20 = 270 000 Ar</t>
  </si>
  <si>
    <t>12 300 Ar</t>
  </si>
  <si>
    <t>12 300 × 50 = 615 000 Ar</t>
  </si>
  <si>
    <t>11 250 Ar</t>
  </si>
  <si>
    <t>11 250 × 100 = 1 125 000 Ar</t>
  </si>
  <si>
    <t>10 050 Ar</t>
  </si>
  <si>
    <t>10 050 × 150 = 1 507 500 Ar</t>
  </si>
  <si>
    <t>Exemples de remise par catégorie</t>
  </si>
  <si>
    <t>tsy misy</t>
  </si>
  <si>
    <t>Format</t>
  </si>
  <si>
    <t>Type / Recto-Verso</t>
  </si>
  <si>
    <t>Prix brut (Ar)</t>
  </si>
  <si>
    <t>1-9 (0%)</t>
  </si>
  <si>
    <t>10-49 (10%)</t>
  </si>
  <si>
    <t>50-99 (18%)</t>
  </si>
  <si>
    <t>100-499 (25%)</t>
  </si>
  <si>
    <t>500+ (33%)</t>
  </si>
  <si>
    <t>Pelliculage</t>
  </si>
  <si>
    <t>A6/A5/A4</t>
  </si>
  <si>
    <t>Recto</t>
  </si>
  <si>
    <t>Recto/Verso</t>
  </si>
  <si>
    <t>A3</t>
  </si>
  <si>
    <t>Plastification</t>
  </si>
  <si>
    <t>A6</t>
  </si>
  <si>
    <t>A5</t>
  </si>
  <si>
    <t>A4</t>
  </si>
  <si>
    <t>Face</t>
  </si>
  <si>
    <t>🔹 Noir STD (N&amp;B)</t>
  </si>
  <si>
    <t>Prix initial (Ar)</t>
  </si>
  <si>
    <t>Quantité</t>
  </si>
  <si>
    <t>Remise (%)</t>
  </si>
  <si>
    <t>Prix ajusté (Ar)</t>
  </si>
  <si>
    <t>1 – 49</t>
  </si>
  <si>
    <t>50 – 999</t>
  </si>
  <si>
    <t>1 000 – 4 999</t>
  </si>
  <si>
    <t>5 000 – 9 999</t>
  </si>
  <si>
    <t>10 000 – 19 999</t>
  </si>
  <si>
    <t>20 000+</t>
  </si>
  <si>
    <t>Prix initial (1–49 ex.)</t>
  </si>
  <si>
    <t>🔹 Couleurs quadri</t>
  </si>
  <si>
    <t xml:space="preserve"> Jet d'encre&amp; laser</t>
  </si>
  <si>
    <t xml:space="preserve"> 80 G</t>
  </si>
  <si>
    <t xml:space="preserve"> Jet d'encre</t>
  </si>
  <si>
    <t>Laser</t>
  </si>
  <si>
    <t>Prix RECTO (Ar)</t>
  </si>
  <si>
    <t xml:space="preserve">PCB/Glossy/PCM </t>
  </si>
  <si>
    <t>90-135 G</t>
  </si>
  <si>
    <t>135-170 G</t>
  </si>
  <si>
    <t>170-300 G</t>
  </si>
  <si>
    <t>A4 2 Face : RECTO VERSO = RECTOx2 = prix A3 recto</t>
  </si>
  <si>
    <t>laser</t>
  </si>
  <si>
    <t>PCB</t>
  </si>
  <si>
    <t>350 G</t>
  </si>
  <si>
    <t>600 G</t>
  </si>
  <si>
    <t>Toile fin</t>
  </si>
  <si>
    <t>Jet d'encre</t>
  </si>
  <si>
    <t>270 G</t>
  </si>
  <si>
    <t>PCB/Glossy/PCM/Tissus texturé</t>
  </si>
  <si>
    <t>A4 2 Face : RECTO VERSO = RECTOx2 = A3 non disponible</t>
  </si>
  <si>
    <t>900 G</t>
  </si>
  <si>
    <t>jet d"encre&amp;laser</t>
  </si>
  <si>
    <t>Invitation</t>
  </si>
  <si>
    <t>180-300 G</t>
  </si>
  <si>
    <t>special Invitation</t>
  </si>
  <si>
    <t>Autocollant</t>
  </si>
  <si>
    <t>5 000 +</t>
  </si>
  <si>
    <t>50 – 199</t>
  </si>
  <si>
    <t>200 – 499</t>
  </si>
  <si>
    <t>500 – 999</t>
  </si>
  <si>
    <t>1 000 – 1 499</t>
  </si>
  <si>
    <t>1 500 – 2 000</t>
  </si>
  <si>
    <t>juste A4 recto, A3 impossible; recto verso impossible</t>
  </si>
  <si>
    <t>PVC translucide</t>
  </si>
  <si>
    <t>0,86 mm</t>
  </si>
  <si>
    <t>PVC opaque</t>
  </si>
  <si>
    <t>Prix A4 RECTO (Ar)</t>
  </si>
  <si>
    <t>A4 recto, A3 impossible; recto verso impossible</t>
  </si>
  <si>
    <t>Prix RECTO/VERSO (Ar)</t>
  </si>
  <si>
    <t>Main d’œuvre (Ar)</t>
  </si>
  <si>
    <t>Prix final unitaire (Ar)</t>
  </si>
  <si>
    <t>20 – 49</t>
  </si>
  <si>
    <t>50 – 99</t>
  </si>
  <si>
    <t>100 – 999</t>
  </si>
  <si>
    <t>1 000 – 9 999</t>
  </si>
  <si>
    <t>90-170 G</t>
  </si>
  <si>
    <t xml:space="preserve"> Jet d'encre&amp;laser</t>
  </si>
  <si>
    <t>A4 recto verso obligatoire pas recto</t>
  </si>
  <si>
    <t>A3 = prix A4*2</t>
  </si>
  <si>
    <t>A4 2/3/4 volets recto verso</t>
  </si>
  <si>
    <t>5 – 49</t>
  </si>
  <si>
    <t>Quantité Flyers 90x90mm</t>
  </si>
  <si>
    <t>Feuilles A4 utilisées</t>
  </si>
  <si>
    <t>Quantité Flyers A6</t>
  </si>
  <si>
    <t>Flyers A6 (4 flyers par feuille A4)</t>
  </si>
  <si>
    <t>30 – 299</t>
  </si>
  <si>
    <t>300 – 599</t>
  </si>
  <si>
    <t>600 – 5 999</t>
  </si>
  <si>
    <t>6 000 – 59 999</t>
  </si>
  <si>
    <t>60 000+</t>
  </si>
  <si>
    <t>20 – 199</t>
  </si>
  <si>
    <t>200 – 399</t>
  </si>
  <si>
    <t>400 – 3 999</t>
  </si>
  <si>
    <t>4 000 – 39 999</t>
  </si>
  <si>
    <t>15 – 149</t>
  </si>
  <si>
    <t>150 – 299</t>
  </si>
  <si>
    <t>300 – 2 999</t>
  </si>
  <si>
    <t>3 000 – 29 999</t>
  </si>
  <si>
    <t>Quantité Flyers A5</t>
  </si>
  <si>
    <t>40 000+</t>
  </si>
  <si>
    <t>Flyers A5 (2 flyers par feuille A4)</t>
  </si>
  <si>
    <t>10 – 99</t>
  </si>
  <si>
    <t>100 – 199</t>
  </si>
  <si>
    <t>200 – 1 999</t>
  </si>
  <si>
    <t>2 000 – 19 999</t>
  </si>
  <si>
    <t>Quantité Flyers B5</t>
  </si>
  <si>
    <t>Flyers B5 = A4 (1 flyer par feuille A4)</t>
  </si>
  <si>
    <t>30 000 +</t>
  </si>
  <si>
    <t>Flyers DL/135mmx135mm (3 flyers par feuille A4)</t>
  </si>
  <si>
    <t>Quantité Flyers DL/135mm</t>
  </si>
  <si>
    <t>Flyers 90x90 mm (A4 divisé par 6 + main d'oeuvre)</t>
  </si>
  <si>
    <t>R/Verso</t>
  </si>
  <si>
    <t>PCB/Glossy/PCM/Tissu texturé</t>
  </si>
  <si>
    <t>PCB 350G</t>
  </si>
  <si>
    <t>PCB 600G</t>
  </si>
  <si>
    <t>PVC Translucide</t>
  </si>
  <si>
    <t>PVC Opaque</t>
  </si>
  <si>
    <t>200 – 999</t>
  </si>
  <si>
    <t>pelliculé brillant /mat 320 G</t>
  </si>
  <si>
    <t>pelliculé brillant /mat 370 G</t>
  </si>
  <si>
    <t>Pelliculé 320G</t>
  </si>
  <si>
    <t>Pelliculé 370G</t>
  </si>
  <si>
    <t>-</t>
  </si>
  <si>
    <t>10 000+</t>
  </si>
  <si>
    <t>A3 Pelliculé</t>
  </si>
  <si>
    <t>50-99</t>
  </si>
  <si>
    <t>100-199</t>
  </si>
  <si>
    <t>200-499</t>
  </si>
  <si>
    <t>500+</t>
  </si>
  <si>
    <t>A2</t>
  </si>
  <si>
    <t>29 000 Ar</t>
  </si>
  <si>
    <t>13 000 Ar</t>
  </si>
  <si>
    <t>24 000 Ar</t>
  </si>
  <si>
    <t>20+</t>
  </si>
  <si>
    <t>12 000 Ar</t>
  </si>
  <si>
    <t>21 000 Ar</t>
  </si>
  <si>
    <t>20 000 Ar</t>
  </si>
  <si>
    <t>38 000 Ar</t>
  </si>
  <si>
    <t>17 000 Ar</t>
  </si>
  <si>
    <t>32 000 Ar</t>
  </si>
  <si>
    <t>28 000 Ar</t>
  </si>
  <si>
    <t>30 000 Ar</t>
  </si>
  <si>
    <t>57 000 Ar</t>
  </si>
  <si>
    <t>26 000 Ar</t>
  </si>
  <si>
    <t>48 000 Ar</t>
  </si>
  <si>
    <t>23 000 Ar</t>
  </si>
  <si>
    <t>42 000 Ar</t>
  </si>
  <si>
    <t>A1</t>
  </si>
  <si>
    <t>60 000 Ar</t>
  </si>
  <si>
    <t>114 000 Ar</t>
  </si>
  <si>
    <t>51 000 Ar</t>
  </si>
  <si>
    <t>96 000 Ar</t>
  </si>
  <si>
    <t>45 000 Ar</t>
  </si>
  <si>
    <t>84 000 Ar</t>
  </si>
  <si>
    <t>A0</t>
  </si>
  <si>
    <t>110 000 Ar</t>
  </si>
  <si>
    <t>200 000 Ar</t>
  </si>
  <si>
    <t>100 000 Ar</t>
  </si>
  <si>
    <t>190 000 Ar</t>
  </si>
  <si>
    <t>90 000 Ar</t>
  </si>
  <si>
    <t>170 000 Ar</t>
  </si>
  <si>
    <t>PVC 3 mm</t>
  </si>
  <si>
    <t>1 à 4 unités</t>
  </si>
  <si>
    <t>5 à 19 unités</t>
  </si>
  <si>
    <t>20 unités et plus</t>
  </si>
  <si>
    <t>35 000 Ar</t>
  </si>
  <si>
    <t>18 000 Ar</t>
  </si>
  <si>
    <t>25 000 Ar</t>
  </si>
  <si>
    <t>27 000 Ar</t>
  </si>
  <si>
    <t>47 000 Ar</t>
  </si>
  <si>
    <t>74 000 Ar</t>
  </si>
  <si>
    <t>43 000 Ar</t>
  </si>
  <si>
    <t>65 000 Ar</t>
  </si>
  <si>
    <t>40 000 Ar</t>
  </si>
  <si>
    <t>145 000 Ar</t>
  </si>
  <si>
    <t>80 000 Ar</t>
  </si>
  <si>
    <t>125 000 Ar</t>
  </si>
  <si>
    <t>75 000 Ar</t>
  </si>
  <si>
    <t>160 000 Ar</t>
  </si>
  <si>
    <t>250 000 Ar</t>
  </si>
  <si>
    <t>150 000 Ar</t>
  </si>
  <si>
    <t>245 000 Ar</t>
  </si>
  <si>
    <t>140 000 Ar</t>
  </si>
  <si>
    <t>PVC 6 mm</t>
  </si>
  <si>
    <t>➕ Appliquer une remise pour les tranches 5-19 et 20+ selon les proportions ci-dessus (ex. -10%, -20%)</t>
  </si>
  <si>
    <t>➕ Réductions similaires selon les tranches de quantité</t>
  </si>
  <si>
    <r>
      <t xml:space="preserve">✅ </t>
    </r>
    <r>
      <rPr>
        <b/>
        <sz val="11"/>
        <color rgb="FFFF0000"/>
        <rFont val="Aptos Narrow"/>
      </rPr>
      <t>Formats personnalisés (PVC 3 mm)</t>
    </r>
  </si>
  <si>
    <r>
      <t xml:space="preserve">💡 </t>
    </r>
    <r>
      <rPr>
        <b/>
        <sz val="11"/>
        <color rgb="FFFF0000"/>
        <rFont val="Aptos Narrow"/>
      </rPr>
      <t>Formule : largeur (m) × hauteur (m) × 110 000 Ar</t>
    </r>
    <r>
      <rPr>
        <sz val="11"/>
        <color rgb="FFFF0000"/>
        <rFont val="Aptos Narrow"/>
      </rPr>
      <t xml:space="preserve"> </t>
    </r>
    <r>
      <rPr>
        <i/>
        <sz val="11"/>
        <color rgb="FFFF0000"/>
        <rFont val="Aptos Narrow"/>
      </rPr>
      <t>(pour Recto – 1 à 4 ex)</t>
    </r>
  </si>
  <si>
    <r>
      <t xml:space="preserve">💡 </t>
    </r>
    <r>
      <rPr>
        <b/>
        <sz val="11"/>
        <color rgb="FFFF0000"/>
        <rFont val="Aptos Narrow"/>
      </rPr>
      <t>Formule : largeur (m) × hauteur (m) × 200 000 Ar</t>
    </r>
    <r>
      <rPr>
        <sz val="11"/>
        <color rgb="FFFF0000"/>
        <rFont val="Aptos Narrow"/>
      </rPr>
      <t xml:space="preserve"> </t>
    </r>
    <r>
      <rPr>
        <i/>
        <sz val="11"/>
        <color rgb="FFFF0000"/>
        <rFont val="Aptos Narrow"/>
      </rPr>
      <t>(pour Recto/Verso – 1 à 4 ex)</t>
    </r>
  </si>
  <si>
    <r>
      <t xml:space="preserve">✅ </t>
    </r>
    <r>
      <rPr>
        <b/>
        <sz val="11"/>
        <color rgb="FFFF0000"/>
        <rFont val="Aptos Narrow"/>
      </rPr>
      <t>Formats personnalisés (PVC 6 mm)</t>
    </r>
  </si>
  <si>
    <r>
      <t xml:space="preserve">💡 </t>
    </r>
    <r>
      <rPr>
        <b/>
        <sz val="11"/>
        <color rgb="FFFF0000"/>
        <rFont val="Aptos Narrow"/>
      </rPr>
      <t>Formule : largeur (m) × hauteur (m) × 160 000 Ar</t>
    </r>
    <r>
      <rPr>
        <sz val="11"/>
        <color rgb="FFFF0000"/>
        <rFont val="Aptos Narrow"/>
      </rPr>
      <t xml:space="preserve"> </t>
    </r>
    <r>
      <rPr>
        <i/>
        <sz val="11"/>
        <color rgb="FFFF0000"/>
        <rFont val="Aptos Narrow"/>
      </rPr>
      <t>(pour Recto – 1 à 4 ex)</t>
    </r>
  </si>
  <si>
    <r>
      <t xml:space="preserve">💡 </t>
    </r>
    <r>
      <rPr>
        <b/>
        <sz val="11"/>
        <color rgb="FFFF0000"/>
        <rFont val="Aptos Narrow"/>
      </rPr>
      <t>Formule : largeur (m) × hauteur (m) × 250 000 Ar</t>
    </r>
    <r>
      <rPr>
        <sz val="11"/>
        <color rgb="FFFF0000"/>
        <rFont val="Aptos Narrow"/>
      </rPr>
      <t xml:space="preserve"> </t>
    </r>
    <r>
      <rPr>
        <i/>
        <sz val="11"/>
        <color rgb="FFFF0000"/>
        <rFont val="Aptos Narrow"/>
      </rPr>
      <t>(pour Recto/Verso – 1 à 4 ex)</t>
    </r>
  </si>
  <si>
    <t>autres</t>
  </si>
  <si>
    <t>1 à 19 unités</t>
  </si>
  <si>
    <t>37 000 Ar</t>
  </si>
  <si>
    <t>20 à 49 unités</t>
  </si>
  <si>
    <t>22 000 Ar</t>
  </si>
  <si>
    <t>50 unités et plus</t>
  </si>
  <si>
    <t>53 000 Ar</t>
  </si>
  <si>
    <t>55 000 Ar</t>
  </si>
  <si>
    <t>82 000 Ar</t>
  </si>
  <si>
    <t>50 000 Ar</t>
  </si>
  <si>
    <t>73 000 Ar</t>
  </si>
  <si>
    <t>67 000 Ar</t>
  </si>
  <si>
    <t>105 000 Ar</t>
  </si>
  <si>
    <t>95 000 Ar</t>
  </si>
  <si>
    <t>130 000 Ar</t>
  </si>
  <si>
    <t>285 000 Ar</t>
  </si>
  <si>
    <t>275 000 Ar</t>
  </si>
  <si>
    <t>175 000 Ar</t>
  </si>
  <si>
    <t>63 000 Ar</t>
  </si>
  <si>
    <t>70 000 Ar</t>
  </si>
  <si>
    <t>97 000 Ar</t>
  </si>
  <si>
    <t>Plexi 3 mm</t>
  </si>
  <si>
    <t>Plexi 5 mm</t>
  </si>
  <si>
    <t>88 000 Ar</t>
  </si>
  <si>
    <t>185 000 Ar</t>
  </si>
  <si>
    <t>120 000 Ar</t>
  </si>
  <si>
    <t>165 000 Ar</t>
  </si>
  <si>
    <t>115 000 Ar</t>
  </si>
  <si>
    <t>155 000 Ar</t>
  </si>
  <si>
    <t>240 000 Ar</t>
  </si>
  <si>
    <t>325 000 Ar</t>
  </si>
  <si>
    <t>230 000 Ar</t>
  </si>
  <si>
    <t>315 000 Ar</t>
  </si>
  <si>
    <t>215 000 Ar</t>
  </si>
  <si>
    <t>290 000 Ar</t>
  </si>
  <si>
    <r>
      <t xml:space="preserve">✅ </t>
    </r>
    <r>
      <rPr>
        <b/>
        <sz val="11"/>
        <color rgb="FFFF0000"/>
        <rFont val="Aptos Narrow"/>
      </rPr>
      <t>Formats personnalisés (plexi 3 mm)</t>
    </r>
  </si>
  <si>
    <r>
      <t xml:space="preserve">✅ </t>
    </r>
    <r>
      <rPr>
        <b/>
        <sz val="11"/>
        <color rgb="FFFF0000"/>
        <rFont val="Aptos Narrow"/>
      </rPr>
      <t>Formats personnalisés (Plexi 5 mm)</t>
    </r>
  </si>
  <si>
    <t>Idem formule Poster en PVC</t>
  </si>
  <si>
    <t>Dimensions (cm)</t>
  </si>
  <si>
    <t>20 x 30</t>
  </si>
  <si>
    <t>40 x 30</t>
  </si>
  <si>
    <t>60 x 40</t>
  </si>
  <si>
    <t>80 x 60</t>
  </si>
  <si>
    <t>120 x 80</t>
  </si>
  <si>
    <r>
      <t xml:space="preserve">✅ </t>
    </r>
    <r>
      <rPr>
        <b/>
        <sz val="11"/>
        <color rgb="FFFF0000"/>
        <rFont val="Aptos Narrow"/>
      </rPr>
      <t>Formats personnalisés</t>
    </r>
  </si>
  <si>
    <t>Idem formule Poster en PVC = longuer x largeur x prix A0</t>
  </si>
  <si>
    <t>Service</t>
  </si>
  <si>
    <t>Unité</t>
  </si>
  <si>
    <t>Tarif (Ar)</t>
  </si>
  <si>
    <t>Découpe finition (Flex)</t>
  </si>
  <si>
    <t>1 m linéaire</t>
  </si>
  <si>
    <t>Autocollant couleur (découpe)</t>
  </si>
  <si>
    <r>
      <t xml:space="preserve">— </t>
    </r>
    <r>
      <rPr>
        <i/>
        <sz val="11"/>
        <color rgb="FF000000"/>
        <rFont val="Aptos Narrow"/>
      </rPr>
      <t>(à définir)</t>
    </r>
  </si>
  <si>
    <t>Autocollant imprimé</t>
  </si>
  <si>
    <t>1 m²</t>
  </si>
  <si>
    <t>Papier / Autocollant</t>
  </si>
  <si>
    <t>Petit format / pc</t>
  </si>
  <si>
    <t>✂️ Découpe &amp; Finition</t>
  </si>
  <si>
    <t>Type</t>
  </si>
  <si>
    <t>Rainage, Arrondi, Pliage, Perforation</t>
  </si>
  <si>
    <t>Par pièce</t>
  </si>
  <si>
    <t>Collage format A4</t>
  </si>
  <si>
    <t>Par format</t>
  </si>
  <si>
    <t>Collage format A3</t>
  </si>
  <si>
    <t>🔧 Finitions diverses (unitaires)</t>
  </si>
  <si>
    <t>Support</t>
  </si>
  <si>
    <t>Montage complet (M.O)</t>
  </si>
  <si>
    <t>Enveloppe</t>
  </si>
  <si>
    <t>Boîte</t>
  </si>
  <si>
    <t>Type de montage main d'œuvre</t>
  </si>
  <si>
    <t>📦 Montage &amp; Conditionnement</t>
  </si>
  <si>
    <t>Conditions</t>
  </si>
  <si>
    <t>Mug</t>
  </si>
  <si>
    <t>Selon quantité (min 500 Ar - max 2 000 Ar)</t>
  </si>
  <si>
    <t>Variable</t>
  </si>
  <si>
    <t>T-Shirt</t>
  </si>
  <si>
    <t>Minimum 5 pièces</t>
  </si>
  <si>
    <t>Polo</t>
  </si>
  <si>
    <t>☕ Presse à chaud / Sublimation</t>
  </si>
  <si>
    <t>Couture simple</t>
  </si>
  <si>
    <t>Couture renforcée (maxi)</t>
  </si>
  <si>
    <t>🧵 Couture pour oriflammes</t>
  </si>
  <si>
    <t>Zone d'encombrement</t>
  </si>
  <si>
    <t>Type d'impression</t>
  </si>
  <si>
    <t>Face avant</t>
  </si>
  <si>
    <t>1 à 4</t>
  </si>
  <si>
    <t>5 à 49</t>
  </si>
  <si>
    <t>50+</t>
  </si>
  <si>
    <t>Face avant + dos</t>
  </si>
  <si>
    <t>👕 T-Shirt 170g – Tailles 2, 4, 6 ans</t>
  </si>
  <si>
    <t>👕 T-Shirt 170g – Tailles S, M</t>
  </si>
  <si>
    <t>👕 T-Shirt 170g – Tailles L, XL</t>
  </si>
  <si>
    <t>A4 / A3</t>
  </si>
  <si>
    <t>👕 T-Shirt 170g – Taille 2XL</t>
  </si>
  <si>
    <t>🩳 Sans T-shirt fourni (impression+press seule)</t>
  </si>
  <si>
    <t>100+</t>
  </si>
  <si>
    <t>A6 ou logo</t>
  </si>
  <si>
    <t>🧥 POLO 220g – Tailles 2, 4, 6 ans</t>
  </si>
  <si>
    <t>🧥 POLO 220g – Tailles S, M</t>
  </si>
  <si>
    <t>🧥 POLO 220g – Tailles L, XL</t>
  </si>
  <si>
    <t>🧥 POLO 220g – Taille 2XL</t>
  </si>
  <si>
    <t>Produit</t>
  </si>
  <si>
    <t>Casquette / Bob / Trousse (avec support)</t>
  </si>
  <si>
    <t>4 → 9</t>
  </si>
  <si>
    <t>10 → 49</t>
  </si>
  <si>
    <t>Sans support fourni</t>
  </si>
  <si>
    <t>1 → 3</t>
  </si>
  <si>
    <t>☕ Tarifs marquage Mug (max 20 x 10 cm)</t>
  </si>
  <si>
    <t>🛍️ Tarifs marquage Tote Bag – Format A3</t>
  </si>
  <si>
    <t>50 → 199</t>
  </si>
  <si>
    <t>200+</t>
  </si>
  <si>
    <t>30 → 99</t>
  </si>
  <si>
    <t>100 → 499</t>
  </si>
  <si>
    <t>🖊️ Tarifs marquage Stylo – Zone max 5 cm</t>
  </si>
  <si>
    <t>ajout si double impression</t>
  </si>
  <si>
    <t>simple zone d'impression</t>
  </si>
  <si>
    <t>🔖 Tarifs marquage petit objet – Zone max 3 cm</t>
  </si>
  <si>
    <t>🧴 Tarifs marquage Gourde</t>
  </si>
  <si>
    <t>1 → 4</t>
  </si>
  <si>
    <t>5 → 49</t>
  </si>
  <si>
    <t>👕 Tarifs marquage Sweat</t>
  </si>
  <si>
    <t>Modèle</t>
  </si>
  <si>
    <t>2 → 4</t>
  </si>
  <si>
    <t>10 → 19</t>
  </si>
  <si>
    <t>Std (200x80 cm)</t>
  </si>
  <si>
    <t>Deluxe (200x85 cm)</t>
  </si>
  <si>
    <t>235 000 Ar</t>
  </si>
  <si>
    <t>220 000 Ar</t>
  </si>
  <si>
    <r>
      <t>200 000 Ar</t>
    </r>
    <r>
      <rPr>
        <sz val="11"/>
        <color rgb="FF000000"/>
        <rFont val="Aptos Narrow"/>
      </rPr>
      <t xml:space="preserve"> </t>
    </r>
  </si>
  <si>
    <t>5 → 9</t>
  </si>
  <si>
    <t>180x80 cm</t>
  </si>
  <si>
    <t>85 000 Ar</t>
  </si>
  <si>
    <t>2000+</t>
  </si>
  <si>
    <t>2000+(50%)</t>
  </si>
  <si>
    <t>100 000+</t>
  </si>
  <si>
    <t>Prix A4x2 = prix A3 recto</t>
  </si>
  <si>
    <t xml:space="preserve"> Jet d'encre/Laser</t>
  </si>
  <si>
    <r>
      <t>A4 recto, A3 impossible; recto verso = recto+</t>
    </r>
    <r>
      <rPr>
        <b/>
        <sz val="11"/>
        <color rgb="FF47D35A"/>
        <rFont val="Aptos Narrow"/>
      </rPr>
      <t>prix translucide</t>
    </r>
  </si>
  <si>
    <t>Sublimation</t>
  </si>
  <si>
    <r>
      <t xml:space="preserve">Prix unitaire (Ar) recto </t>
    </r>
    <r>
      <rPr>
        <b/>
        <strike/>
        <sz val="11"/>
        <color rgb="FFFF0000"/>
        <rFont val="Aptos Narrow"/>
      </rPr>
      <t>arrondi</t>
    </r>
  </si>
  <si>
    <r>
      <t xml:space="preserve">Prix unitaire (Ar) recto </t>
    </r>
    <r>
      <rPr>
        <b/>
        <strike/>
        <sz val="11"/>
        <color rgb="FFC00000"/>
        <rFont val="Aptos Narrow"/>
      </rPr>
      <t>arrondi</t>
    </r>
  </si>
  <si>
    <t>Recto verso</t>
  </si>
  <si>
    <t>R/verso</t>
  </si>
  <si>
    <t>moins 50</t>
  </si>
  <si>
    <t>1 à 10</t>
  </si>
  <si>
    <t>10 à 25</t>
  </si>
  <si>
    <t>25 plus</t>
  </si>
  <si>
    <t>2 à 20</t>
  </si>
  <si>
    <t>20 à 50</t>
  </si>
  <si>
    <t>50 plus</t>
  </si>
  <si>
    <t>100 plus</t>
  </si>
  <si>
    <t>40 à 100</t>
  </si>
  <si>
    <t>4 à 40</t>
  </si>
  <si>
    <t>1 à 3</t>
  </si>
  <si>
    <t>200 plus</t>
  </si>
  <si>
    <t>80 à 200</t>
  </si>
  <si>
    <t>8 à 80</t>
  </si>
  <si>
    <t>1 à 8</t>
  </si>
  <si>
    <t>400 plus</t>
  </si>
  <si>
    <t>160 à 400</t>
  </si>
  <si>
    <t>16 à 160</t>
  </si>
  <si>
    <t>1 à 16</t>
  </si>
  <si>
    <t>gros lot</t>
  </si>
  <si>
    <t>gros lot : quantité a discuter ou appel d'offre</t>
  </si>
  <si>
    <r>
      <t>A0 =1 m</t>
    </r>
    <r>
      <rPr>
        <b/>
        <vertAlign val="superscript"/>
        <sz val="11"/>
        <color rgb="FF000000"/>
        <rFont val="Aptos Narrow"/>
      </rPr>
      <t>2</t>
    </r>
  </si>
  <si>
    <t>oeuillet 4/m2</t>
  </si>
  <si>
    <t>oeuillet 8/m2</t>
  </si>
  <si>
    <t>Gratuit daholo</t>
  </si>
  <si>
    <t>Œillet gratuit</t>
  </si>
  <si>
    <t>500 A/oeuillet</t>
  </si>
  <si>
    <t>Prix (Ar)
Blanc</t>
  </si>
  <si>
    <t>Prix (Ar)
Transparent</t>
  </si>
  <si>
    <t>Prix (Ar)
reflechissant</t>
  </si>
  <si>
    <t>Prix (Ar)
Dos bleu</t>
  </si>
  <si>
    <t>Prix (Ar)
Papier Photo</t>
  </si>
  <si>
    <t>Prix (Ar)Sablé</t>
  </si>
  <si>
    <t>Decoupe photobooth PVC/Plexi</t>
  </si>
  <si>
    <r>
      <t>par m</t>
    </r>
    <r>
      <rPr>
        <vertAlign val="superscript"/>
        <sz val="11"/>
        <color rgb="FFFF0000"/>
        <rFont val="Aptos Narrow"/>
      </rPr>
      <t>2</t>
    </r>
  </si>
  <si>
    <t>🧵 Pose autocollant etc…</t>
  </si>
  <si>
    <t>10 000 Ar</t>
  </si>
  <si>
    <t>7 000 Ar</t>
  </si>
  <si>
    <t>8 000 Ar</t>
  </si>
  <si>
    <t>3 000 Ar</t>
  </si>
  <si>
    <t>5 000 Ar</t>
  </si>
  <si>
    <t>Frais Pose deplacement</t>
  </si>
  <si>
    <t>Pose avec deplacement (vitrine boutique ou support en bas)</t>
  </si>
  <si>
    <t>5000+</t>
  </si>
  <si>
    <t>PVC 5 mm</t>
  </si>
</sst>
</file>

<file path=xl/styles.xml><?xml version="1.0" encoding="utf-8"?>
<styleSheet xmlns="http://schemas.openxmlformats.org/spreadsheetml/2006/main">
  <numFmts count="5">
    <numFmt numFmtId="0" formatCode="General"/>
    <numFmt numFmtId="3" formatCode="#,##0"/>
    <numFmt numFmtId="16" formatCode="[$-40c]dd\-mmm"/>
    <numFmt numFmtId="9" formatCode="0%"/>
    <numFmt numFmtId="17" formatCode="[$-40c]mmm\-yy"/>
  </numFmts>
  <fonts count="19">
    <font>
      <name val="Aptos Narrow"/>
      <sz val="11"/>
    </font>
    <font>
      <name val="Aptos Narrow"/>
      <b/>
      <sz val="11"/>
      <color rgb="FFFF0000"/>
    </font>
    <font>
      <name val="Aptos Narrow"/>
      <b/>
      <sz val="11"/>
      <color rgb="FF000000"/>
    </font>
    <font>
      <name val="Aptos Narrow"/>
      <sz val="11"/>
      <color rgb="FF000000"/>
    </font>
    <font>
      <name val="Arial Unicode MS"/>
      <sz val="10"/>
      <color rgb="FF000000"/>
    </font>
    <font>
      <name val="Aptos Narrow"/>
      <sz val="11"/>
      <color rgb="FFFF0000"/>
    </font>
    <font>
      <name val="Aptos Narrow"/>
      <sz val="11"/>
      <color rgb="FF0C3512"/>
    </font>
    <font>
      <name val="Aptos Narrow"/>
      <b/>
      <sz val="12"/>
      <color rgb="FF000000"/>
    </font>
    <font>
      <name val="Aptos Narrow"/>
      <b/>
      <sz val="11"/>
      <color rgb="FF0C3512"/>
    </font>
    <font>
      <name val="Aptos Narrow"/>
      <strike/>
      <sz val="11"/>
      <color rgb="FFC00000"/>
    </font>
    <font>
      <name val="Aptos Narrow"/>
      <strike/>
      <sz val="11"/>
      <color rgb="FFFF0000"/>
    </font>
    <font>
      <name val="Aptos Narrow"/>
      <strike/>
      <sz val="11"/>
      <color rgb="FF000000"/>
    </font>
    <font>
      <name val="Aptos Narrow"/>
      <strike/>
      <sz val="11"/>
      <color rgb="FF0C3512"/>
    </font>
    <font>
      <name val="Aptos Narrow"/>
      <b/>
      <strike/>
      <sz val="11"/>
      <color rgb="FF000000"/>
    </font>
    <font>
      <name val="Aptos Narrow"/>
      <sz val="11"/>
      <color rgb="FFC00000"/>
    </font>
    <font>
      <name val="Aptos Narrow"/>
      <b/>
      <sz val="13"/>
      <color rgb="FF000000"/>
    </font>
    <font>
      <name val="Aptos Narrow"/>
      <sz val="11"/>
      <color rgb="FFFF0000"/>
    </font>
    <font>
      <name val="Aptos Narrow"/>
      <b/>
      <sz val="14"/>
      <color rgb="FF000000"/>
    </font>
    <font>
      <name val="Aptos Narrow"/>
      <b/>
      <sz val="13"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6DC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2" borderId="0" xfId="0" applyFont="1" applyFill="1" applyAlignment="1">
      <alignment horizontal="center" vertical="bottom"/>
    </xf>
    <xf numFmtId="0" fontId="2" fillId="0" borderId="0" xfId="0" applyFont="1" applyAlignment="1">
      <alignment horizontal="center" vertical="center" wrapText="1"/>
    </xf>
    <xf numFmtId="0" fontId="3" fillId="0" borderId="0" xfId="0" applyAlignment="1">
      <alignment vertical="center" wrapText="1"/>
    </xf>
    <xf numFmtId="3" fontId="3" fillId="0" borderId="0" xfId="0" applyNumberFormat="1" applyAlignment="1">
      <alignment vertical="center" wrapText="1"/>
    </xf>
    <xf numFmtId="0" fontId="3" fillId="0" borderId="0" xfId="0" applyAlignment="1">
      <alignment vertical="top"/>
    </xf>
    <xf numFmtId="0" fontId="2" fillId="0" borderId="0" xfId="0" applyFont="1" applyAlignment="1">
      <alignment horizontal="center" vertical="top" wrapText="1"/>
    </xf>
    <xf numFmtId="16" fontId="3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3" fillId="0" borderId="0" xfId="0" applyNumberFormat="1" applyAlignment="1">
      <alignment vertical="center" wrapText="1"/>
    </xf>
    <xf numFmtId="0" fontId="1" fillId="2" borderId="0" xfId="0" applyFont="1" applyFill="1" applyAlignment="1">
      <alignment vertical="bottom"/>
    </xf>
    <xf numFmtId="0" fontId="3" fillId="2" borderId="0" xfId="0" applyFill="1" applyAlignment="1">
      <alignment vertical="bottom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bottom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bottom"/>
    </xf>
    <xf numFmtId="0" fontId="7" fillId="2" borderId="0" xfId="0" applyFont="1" applyFill="1" applyAlignment="1">
      <alignment horizontal="center" vertical="bottom"/>
    </xf>
    <xf numFmtId="0" fontId="3" fillId="2" borderId="0" xfId="0" applyFill="1" applyAlignment="1">
      <alignment horizontal="center" vertical="bottom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bottom"/>
    </xf>
    <xf numFmtId="3" fontId="9" fillId="0" borderId="0" xfId="0" applyNumberFormat="1" applyFont="1" applyAlignment="1">
      <alignment vertical="center" wrapText="1"/>
    </xf>
    <xf numFmtId="0" fontId="3" fillId="3" borderId="0" xfId="0" applyFill="1" applyAlignment="1">
      <alignment vertical="center" wrapText="1"/>
    </xf>
    <xf numFmtId="9" fontId="3" fillId="3" borderId="0" xfId="0" applyNumberForma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bottom"/>
    </xf>
    <xf numFmtId="0" fontId="5" fillId="3" borderId="0" xfId="0" applyFont="1" applyFill="1" applyAlignment="1">
      <alignment vertical="center" wrapText="1"/>
    </xf>
    <xf numFmtId="9" fontId="5" fillId="3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bottom"/>
    </xf>
    <xf numFmtId="0" fontId="3" fillId="3" borderId="0" xfId="0" applyFill="1" applyAlignment="1">
      <alignment vertical="bottom"/>
    </xf>
    <xf numFmtId="0" fontId="7" fillId="3" borderId="0" xfId="0" applyFont="1" applyFill="1" applyAlignment="1">
      <alignment horizontal="center" vertical="bottom"/>
    </xf>
    <xf numFmtId="0" fontId="3" fillId="3" borderId="0" xfId="0" applyFill="1" applyAlignment="1">
      <alignment horizontal="center" vertical="bottom"/>
    </xf>
    <xf numFmtId="0" fontId="2" fillId="0" borderId="0" xfId="0" applyFont="1" applyAlignment="1">
      <alignment vertical="bottom"/>
    </xf>
    <xf numFmtId="0" fontId="2" fillId="0" borderId="0" xfId="0" applyFont="1">
      <alignment vertical="center"/>
    </xf>
    <xf numFmtId="3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3" fontId="10" fillId="0" borderId="0" xfId="0" applyNumberFormat="1" applyFont="1" applyAlignment="1">
      <alignment vertical="center" wrapText="1"/>
    </xf>
    <xf numFmtId="0" fontId="12" fillId="0" borderId="0" xfId="0" applyFont="1" applyAlignment="1">
      <alignment vertical="bottom"/>
    </xf>
    <xf numFmtId="0" fontId="7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bottom"/>
    </xf>
    <xf numFmtId="0" fontId="13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Alignment="1">
      <alignment vertical="top" wrapText="1"/>
    </xf>
    <xf numFmtId="0" fontId="3" fillId="0" borderId="0" xfId="0" applyAlignment="1">
      <alignment horizontal="right" vertical="bottom"/>
    </xf>
    <xf numFmtId="3" fontId="9" fillId="0" borderId="0" xfId="0" applyNumberFormat="1" applyFont="1" applyAlignment="1">
      <alignment vertical="top" wrapText="1"/>
    </xf>
    <xf numFmtId="3" fontId="14" fillId="0" borderId="0" xfId="0" applyNumberFormat="1" applyFont="1" applyAlignment="1">
      <alignment vertical="top" wrapText="1"/>
    </xf>
    <xf numFmtId="0" fontId="3" fillId="0" borderId="0" xfId="0" applyAlignment="1">
      <alignment horizontal="right" vertical="top" wrapText="1"/>
    </xf>
    <xf numFmtId="16" fontId="3" fillId="3" borderId="0" xfId="0" applyNumberFormat="1" applyFill="1" applyAlignment="1">
      <alignment horizontal="right" vertical="top" wrapText="1"/>
    </xf>
    <xf numFmtId="3" fontId="11" fillId="3" borderId="0" xfId="0" applyNumberFormat="1" applyFont="1" applyFill="1" applyAlignment="1">
      <alignment vertical="bottom"/>
    </xf>
    <xf numFmtId="3" fontId="3" fillId="3" borderId="0" xfId="0" applyNumberFormat="1" applyFill="1" applyAlignment="1">
      <alignment vertical="bottom"/>
    </xf>
    <xf numFmtId="16" fontId="3" fillId="0" borderId="0" xfId="0" applyNumberFormat="1" applyAlignment="1">
      <alignment horizontal="right" vertical="top" wrapText="1"/>
    </xf>
    <xf numFmtId="0" fontId="5" fillId="2" borderId="0" xfId="0" applyFont="1" applyFill="1" applyAlignment="1">
      <alignment horizontal="center" vertical="bottom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16" fontId="3" fillId="3" borderId="0" xfId="0" applyNumberFormat="1" applyFill="1" applyAlignment="1">
      <alignment horizontal="center" vertical="top" wrapText="1"/>
    </xf>
    <xf numFmtId="17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bottom" wrapText="1"/>
    </xf>
    <xf numFmtId="0" fontId="2" fillId="0" borderId="0" xfId="0" applyFont="1" applyAlignment="1">
      <alignment horizontal="left" vertical="center" wrapText="1"/>
    </xf>
    <xf numFmtId="0" fontId="3" fillId="0" borderId="0" xfId="0" applyAlignment="1">
      <alignment horizontal="left" vertical="center" wrapText="1"/>
    </xf>
    <xf numFmtId="0" fontId="5" fillId="2" borderId="0" xfId="0" applyFont="1" applyFill="1" applyAlignment="1">
      <alignment horizontal="center" vertical="bottom"/>
    </xf>
    <xf numFmtId="0" fontId="5" fillId="0" borderId="0" xfId="0" applyFont="1" applyAlignment="1">
      <alignment horizontal="center" vertical="center"/>
    </xf>
    <xf numFmtId="16" fontId="3" fillId="3" borderId="0" xfId="0" applyNumberFormat="1" applyFill="1" applyAlignment="1">
      <alignment horizontal="center" vertical="top" wrapText="1"/>
    </xf>
    <xf numFmtId="3" fontId="14" fillId="3" borderId="0" xfId="0" applyNumberFormat="1" applyFont="1" applyFill="1" applyAlignment="1">
      <alignment vertical="top" wrapText="1"/>
    </xf>
    <xf numFmtId="3" fontId="3" fillId="0" borderId="0" xfId="0" applyNumberFormat="1" applyAlignment="1">
      <alignment vertical="top" wrapText="1"/>
    </xf>
    <xf numFmtId="0" fontId="3" fillId="0" borderId="0" xfId="0" applyAlignment="1">
      <alignment horizontal="left" vertical="top"/>
    </xf>
    <xf numFmtId="0" fontId="15" fillId="2" borderId="0" xfId="0" applyFont="1" applyFill="1" applyAlignment="1">
      <alignment horizontal="left" vertical="top"/>
    </xf>
    <xf numFmtId="0" fontId="3" fillId="2" borderId="0" xfId="0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Alignment="1">
      <alignment horizontal="left" vertical="top" wrapText="1"/>
    </xf>
    <xf numFmtId="3" fontId="3" fillId="0" borderId="0" xfId="0" applyNumberFormat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3" fillId="3" borderId="0" xfId="0" applyFill="1" applyAlignment="1">
      <alignment horizontal="left" vertical="top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top"/>
    </xf>
    <xf numFmtId="3" fontId="3" fillId="0" borderId="0" xfId="0" applyNumberFormat="1" applyAlignment="1">
      <alignment horizontal="left" vertical="center" wrapText="1"/>
    </xf>
    <xf numFmtId="0" fontId="3" fillId="3" borderId="0" xfId="0" applyFill="1" applyAlignment="1">
      <alignment horizontal="right" vertical="top"/>
    </xf>
    <xf numFmtId="0" fontId="3" fillId="0" borderId="0" xfId="0" applyAlignment="1">
      <alignment horizontal="left" vertical="bottom"/>
    </xf>
    <xf numFmtId="0" fontId="17" fillId="2" borderId="0" xfId="0" applyFont="1" applyFill="1" applyAlignment="1">
      <alignment horizontal="left" vertical="bottom"/>
    </xf>
    <xf numFmtId="0" fontId="18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bottom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7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left" vertical="bottom"/>
    </xf>
    <xf numFmtId="0" fontId="1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3" fontId="3" fillId="3" borderId="0" xfId="0" applyNumberFormat="1" applyFill="1" applyAlignment="1">
      <alignment vertical="center" wrapText="1"/>
    </xf>
    <xf numFmtId="0" fontId="15" fillId="2" borderId="0" xfId="0" applyFont="1" applyFill="1" applyAlignment="1">
      <alignment horizontal="center" vertical="top"/>
    </xf>
    <xf numFmtId="3" fontId="3" fillId="3" borderId="0" xfId="0" applyNumberFormat="1" applyFill="1" applyAlignment="1">
      <alignment vertical="top" wrapText="1"/>
    </xf>
    <xf numFmtId="0" fontId="3" fillId="3" borderId="0" xfId="0" applyFill="1" applyAlignment="1">
      <alignment vertical="top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www.wps.cn/officeDocument/2020/cellImage" Target="cellimages.xml"/><Relationship Id="rId49" Type="http://schemas.openxmlformats.org/officeDocument/2006/relationships/sharedStrings" Target="sharedStrings.xml"/><Relationship Id="rId50" Type="http://schemas.openxmlformats.org/officeDocument/2006/relationships/styles" Target="styles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AW60"/>
  <sheetViews>
    <sheetView workbookViewId="0" topLeftCell="B1" zoomScale="65">
      <selection activeCell="H20" sqref="H20"/>
    </sheetView>
  </sheetViews>
  <sheetFormatPr defaultRowHeight="15.0" defaultColWidth="10"/>
  <cols>
    <col min="2" max="3" customWidth="1" bestFit="1" width="10.5703125" style="0"/>
  </cols>
  <sheetData>
    <row r="3" spans="8:8">
      <c r="B3" s="1" t="s">
        <v>50</v>
      </c>
      <c r="C3" s="1"/>
    </row>
    <row r="4" spans="8:8" ht="30.0">
      <c r="B4" s="2" t="s">
        <v>51</v>
      </c>
      <c r="C4" s="2" t="s">
        <v>74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</row>
    <row r="5" spans="8:8">
      <c r="B5" s="3">
        <v>6.0</v>
      </c>
      <c r="C5" s="3" t="s">
        <v>6</v>
      </c>
      <c r="D5" s="3" t="s">
        <v>7</v>
      </c>
      <c r="E5" s="3" t="s">
        <v>8</v>
      </c>
      <c r="F5" s="3" t="s">
        <v>9</v>
      </c>
      <c r="G5" s="4">
        <v>3000.0</v>
      </c>
      <c r="H5" s="3" t="s">
        <v>10</v>
      </c>
      <c r="I5" s="3" t="s">
        <v>10</v>
      </c>
    </row>
    <row r="6" spans="8:8">
      <c r="B6" s="3">
        <v>8.0</v>
      </c>
      <c r="C6" s="3" t="s">
        <v>11</v>
      </c>
      <c r="D6" s="3" t="s">
        <v>12</v>
      </c>
      <c r="E6" s="3" t="s">
        <v>13</v>
      </c>
      <c r="F6" s="3" t="s">
        <v>14</v>
      </c>
      <c r="G6" s="4">
        <v>4000.0</v>
      </c>
      <c r="H6" s="3" t="s">
        <v>10</v>
      </c>
      <c r="I6" s="3" t="s">
        <v>10</v>
      </c>
    </row>
    <row r="7" spans="8:8">
      <c r="B7" s="3">
        <v>10.0</v>
      </c>
      <c r="C7" s="3" t="s">
        <v>15</v>
      </c>
      <c r="D7" s="3" t="s">
        <v>16</v>
      </c>
      <c r="E7" s="3" t="s">
        <v>17</v>
      </c>
      <c r="F7" s="3" t="s">
        <v>18</v>
      </c>
      <c r="G7" s="4">
        <v>6000.0</v>
      </c>
      <c r="H7" s="3" t="s">
        <v>10</v>
      </c>
      <c r="I7" s="3" t="s">
        <v>10</v>
      </c>
    </row>
    <row r="8" spans="8:8">
      <c r="B8" s="3">
        <v>12.0</v>
      </c>
      <c r="C8" s="3" t="s">
        <v>19</v>
      </c>
      <c r="D8" s="3" t="s">
        <v>20</v>
      </c>
      <c r="E8" s="3" t="s">
        <v>21</v>
      </c>
      <c r="F8" s="3" t="s">
        <v>22</v>
      </c>
      <c r="G8" s="4">
        <v>8000.0</v>
      </c>
      <c r="H8" s="3" t="s">
        <v>10</v>
      </c>
      <c r="I8" s="3" t="s">
        <v>10</v>
      </c>
    </row>
    <row r="9" spans="8:8">
      <c r="B9" s="3">
        <v>14.0</v>
      </c>
      <c r="C9" s="3" t="s">
        <v>23</v>
      </c>
      <c r="D9" s="3" t="s">
        <v>24</v>
      </c>
      <c r="E9" s="3" t="s">
        <v>16</v>
      </c>
      <c r="F9" s="3" t="s">
        <v>25</v>
      </c>
      <c r="G9" s="4">
        <v>10000.0</v>
      </c>
      <c r="H9" s="3" t="s">
        <v>10</v>
      </c>
      <c r="I9" s="3" t="s">
        <v>10</v>
      </c>
    </row>
    <row r="10" spans="8:8">
      <c r="B10" s="3">
        <v>16.0</v>
      </c>
      <c r="C10" s="3" t="s">
        <v>26</v>
      </c>
      <c r="D10" s="3" t="s">
        <v>27</v>
      </c>
      <c r="E10" s="3" t="s">
        <v>28</v>
      </c>
      <c r="F10" s="3" t="s">
        <v>29</v>
      </c>
      <c r="G10" s="4">
        <v>11500.0</v>
      </c>
      <c r="H10" s="3" t="s">
        <v>10</v>
      </c>
      <c r="I10" s="3" t="s">
        <v>10</v>
      </c>
    </row>
    <row r="11" spans="8:8">
      <c r="B11" s="3">
        <v>18.0</v>
      </c>
      <c r="C11" s="3" t="s">
        <v>30</v>
      </c>
      <c r="D11" s="3" t="s">
        <v>31</v>
      </c>
      <c r="E11" s="3" t="s">
        <v>32</v>
      </c>
      <c r="F11" s="3" t="s">
        <v>33</v>
      </c>
      <c r="G11" s="4">
        <v>13000.0</v>
      </c>
      <c r="H11" s="3" t="s">
        <v>10</v>
      </c>
      <c r="I11" s="3" t="s">
        <v>135</v>
      </c>
    </row>
    <row r="12" spans="8:8">
      <c r="B12" s="3">
        <v>20.0</v>
      </c>
      <c r="C12" s="3" t="s">
        <v>34</v>
      </c>
      <c r="D12" s="3" t="s">
        <v>35</v>
      </c>
      <c r="E12" s="3" t="s">
        <v>36</v>
      </c>
      <c r="F12" s="3" t="s">
        <v>37</v>
      </c>
      <c r="G12" s="4">
        <v>14000.0</v>
      </c>
      <c r="H12" s="3" t="s">
        <v>10</v>
      </c>
      <c r="I12" s="3" t="s">
        <v>135</v>
      </c>
    </row>
    <row r="13" spans="8:8">
      <c r="B13" s="3">
        <v>22.0</v>
      </c>
      <c r="C13" s="3" t="s">
        <v>38</v>
      </c>
      <c r="D13" s="3" t="s">
        <v>39</v>
      </c>
      <c r="E13" s="3" t="s">
        <v>40</v>
      </c>
      <c r="F13" s="3" t="s">
        <v>41</v>
      </c>
      <c r="G13" s="4">
        <v>15000.0</v>
      </c>
      <c r="H13" s="3" t="s">
        <v>10</v>
      </c>
      <c r="I13" s="3" t="s">
        <v>135</v>
      </c>
    </row>
    <row r="14" spans="8:8">
      <c r="B14" s="3">
        <v>24.0</v>
      </c>
      <c r="C14" s="3" t="s">
        <v>42</v>
      </c>
      <c r="D14" s="3" t="s">
        <v>43</v>
      </c>
      <c r="E14" s="3" t="s">
        <v>44</v>
      </c>
      <c r="F14" s="3" t="s">
        <v>45</v>
      </c>
      <c r="G14" s="4">
        <v>16500.0</v>
      </c>
      <c r="H14" s="3" t="s">
        <v>10</v>
      </c>
      <c r="I14" s="3" t="s">
        <v>135</v>
      </c>
    </row>
    <row r="15" spans="8:8">
      <c r="B15" s="3">
        <v>26.0</v>
      </c>
      <c r="C15" s="3" t="s">
        <v>46</v>
      </c>
      <c r="D15" s="3" t="s">
        <v>47</v>
      </c>
      <c r="E15" s="3" t="s">
        <v>48</v>
      </c>
      <c r="F15" s="3" t="s">
        <v>49</v>
      </c>
      <c r="G15" s="4">
        <v>18000.0</v>
      </c>
      <c r="H15" s="3" t="s">
        <v>10</v>
      </c>
      <c r="I15" s="3" t="s">
        <v>135</v>
      </c>
    </row>
    <row r="19" spans="8:8">
      <c r="B19" s="1" t="s">
        <v>68</v>
      </c>
      <c r="C19" s="1"/>
    </row>
    <row r="20" spans="8:8" s="5" ht="45.0" customFormat="1">
      <c r="B20" s="6" t="s">
        <v>52</v>
      </c>
      <c r="C20" s="6" t="s">
        <v>75</v>
      </c>
      <c r="D20" s="6" t="s">
        <v>53</v>
      </c>
      <c r="E20" s="6" t="s">
        <v>54</v>
      </c>
      <c r="F20" s="6" t="s">
        <v>55</v>
      </c>
    </row>
    <row r="21" spans="8:8">
      <c r="B21" s="7" t="s">
        <v>69</v>
      </c>
      <c r="C21" s="3" t="s">
        <v>56</v>
      </c>
      <c r="D21" s="3" t="s">
        <v>57</v>
      </c>
      <c r="E21" s="3" t="s">
        <v>18</v>
      </c>
      <c r="F21" s="4">
        <v>1500.0</v>
      </c>
    </row>
    <row r="22" spans="8:8">
      <c r="B22" s="7" t="s">
        <v>70</v>
      </c>
      <c r="C22" s="3" t="s">
        <v>58</v>
      </c>
      <c r="D22" s="3" t="s">
        <v>37</v>
      </c>
      <c r="E22" s="3" t="s">
        <v>59</v>
      </c>
      <c r="F22" s="4">
        <v>2000.0</v>
      </c>
    </row>
    <row r="23" spans="8:8">
      <c r="B23" s="7" t="s">
        <v>71</v>
      </c>
      <c r="C23" s="3" t="s">
        <v>60</v>
      </c>
      <c r="D23" s="3" t="s">
        <v>61</v>
      </c>
      <c r="E23" s="3" t="s">
        <v>62</v>
      </c>
      <c r="F23" s="4">
        <v>2500.0</v>
      </c>
    </row>
    <row r="24" spans="8:8">
      <c r="B24" s="7" t="s">
        <v>72</v>
      </c>
      <c r="C24" s="3" t="s">
        <v>63</v>
      </c>
      <c r="D24" s="3" t="s">
        <v>24</v>
      </c>
      <c r="E24" s="3" t="s">
        <v>64</v>
      </c>
      <c r="F24" s="4">
        <v>3200.0</v>
      </c>
    </row>
    <row r="25" spans="8:8">
      <c r="B25" s="7" t="s">
        <v>73</v>
      </c>
      <c r="C25" s="3" t="s">
        <v>65</v>
      </c>
      <c r="D25" s="3" t="s">
        <v>66</v>
      </c>
      <c r="E25" s="3" t="s">
        <v>67</v>
      </c>
      <c r="F25" s="4">
        <v>4000.0</v>
      </c>
    </row>
    <row r="29" spans="8:8">
      <c r="B29" s="1" t="s">
        <v>94</v>
      </c>
      <c r="C29" s="1"/>
    </row>
    <row r="30" spans="8:8" ht="30.0">
      <c r="B30" s="6" t="s">
        <v>76</v>
      </c>
      <c r="C30" s="6" t="s">
        <v>77</v>
      </c>
      <c r="D30" s="6" t="s">
        <v>78</v>
      </c>
      <c r="E30" s="6" t="s">
        <v>79</v>
      </c>
      <c r="F30" s="6" t="s">
        <v>55</v>
      </c>
      <c r="G30" s="5"/>
      <c r="K30" s="2"/>
      <c r="L30" s="2"/>
      <c r="M30" s="2"/>
      <c r="N30" s="2"/>
      <c r="O30" s="2"/>
    </row>
    <row r="31" spans="8:8">
      <c r="B31" s="3" t="s">
        <v>80</v>
      </c>
      <c r="C31" s="3" t="s">
        <v>95</v>
      </c>
      <c r="D31" s="3" t="s">
        <v>96</v>
      </c>
      <c r="E31" s="3" t="s">
        <v>81</v>
      </c>
      <c r="F31" s="4">
        <v>6000.0</v>
      </c>
    </row>
    <row r="32" spans="8:8">
      <c r="B32" s="3" t="s">
        <v>82</v>
      </c>
      <c r="C32" s="3" t="s">
        <v>97</v>
      </c>
      <c r="D32" s="3" t="s">
        <v>98</v>
      </c>
      <c r="E32" s="3" t="s">
        <v>83</v>
      </c>
      <c r="F32" s="4">
        <v>8000.0</v>
      </c>
    </row>
    <row r="33" spans="8:8">
      <c r="B33" s="3" t="s">
        <v>99</v>
      </c>
      <c r="C33" s="3" t="s">
        <v>100</v>
      </c>
      <c r="D33" s="3" t="s">
        <v>101</v>
      </c>
      <c r="E33" s="3" t="s">
        <v>84</v>
      </c>
      <c r="F33" s="4">
        <v>11000.0</v>
      </c>
    </row>
    <row r="34" spans="8:8">
      <c r="B34" s="3" t="s">
        <v>102</v>
      </c>
      <c r="C34" s="3" t="s">
        <v>103</v>
      </c>
      <c r="D34" s="3" t="s">
        <v>104</v>
      </c>
      <c r="E34" s="3" t="s">
        <v>86</v>
      </c>
      <c r="F34" s="4">
        <v>13000.0</v>
      </c>
    </row>
    <row r="35" spans="8:8">
      <c r="B35" s="3" t="s">
        <v>105</v>
      </c>
      <c r="C35" s="3" t="s">
        <v>85</v>
      </c>
      <c r="D35" s="3" t="s">
        <v>106</v>
      </c>
      <c r="E35" s="3" t="s">
        <v>88</v>
      </c>
      <c r="F35" s="4">
        <v>15000.0</v>
      </c>
    </row>
    <row r="36" spans="8:8">
      <c r="B36" s="3" t="s">
        <v>107</v>
      </c>
      <c r="C36" s="3" t="s">
        <v>87</v>
      </c>
      <c r="D36" s="3" t="s">
        <v>108</v>
      </c>
      <c r="E36" s="3" t="s">
        <v>90</v>
      </c>
      <c r="F36" s="4">
        <v>17000.0</v>
      </c>
    </row>
    <row r="37" spans="8:8">
      <c r="B37" s="3" t="s">
        <v>109</v>
      </c>
      <c r="C37" s="3" t="s">
        <v>89</v>
      </c>
      <c r="D37" s="3" t="s">
        <v>110</v>
      </c>
      <c r="E37" s="3" t="s">
        <v>92</v>
      </c>
      <c r="F37" s="4">
        <v>18500.0</v>
      </c>
    </row>
    <row r="38" spans="8:8">
      <c r="B38" s="3" t="s">
        <v>111</v>
      </c>
      <c r="C38" s="3" t="s">
        <v>91</v>
      </c>
      <c r="D38" s="3" t="s">
        <v>112</v>
      </c>
      <c r="E38" s="3" t="s">
        <v>93</v>
      </c>
      <c r="F38" s="4">
        <v>20000.0</v>
      </c>
    </row>
    <row r="44" spans="8:8">
      <c r="B44" s="1" t="s">
        <v>119</v>
      </c>
      <c r="C44" s="1"/>
    </row>
    <row r="45" spans="8:8" ht="60.0">
      <c r="B45" s="2" t="s">
        <v>120</v>
      </c>
      <c r="C45" s="2" t="s">
        <v>113</v>
      </c>
    </row>
    <row r="46" spans="8:8" ht="45.0">
      <c r="B46" s="8" t="s">
        <v>114</v>
      </c>
      <c r="C46" s="9">
        <v>0.0</v>
      </c>
    </row>
    <row r="47" spans="8:8" ht="45.0">
      <c r="B47" s="8" t="s">
        <v>115</v>
      </c>
      <c r="C47" s="9">
        <v>0.1</v>
      </c>
    </row>
    <row r="48" spans="8:8" ht="45.0">
      <c r="B48" s="8" t="s">
        <v>116</v>
      </c>
      <c r="C48" s="9">
        <v>0.18</v>
      </c>
    </row>
    <row r="49" spans="8:8" ht="45.0">
      <c r="B49" s="8" t="s">
        <v>117</v>
      </c>
      <c r="C49" s="9">
        <v>0.25</v>
      </c>
    </row>
    <row r="50" spans="8:8" ht="45.0">
      <c r="B50" s="8" t="s">
        <v>118</v>
      </c>
      <c r="C50" s="9">
        <v>0.33</v>
      </c>
    </row>
    <row r="54" spans="8:8">
      <c r="B54" s="10" t="s">
        <v>134</v>
      </c>
      <c r="C54" s="10"/>
      <c r="D54" s="11"/>
    </row>
    <row r="55" spans="8:8" ht="60.0">
      <c r="B55" s="2" t="s">
        <v>120</v>
      </c>
      <c r="C55" s="2" t="s">
        <v>113</v>
      </c>
      <c r="D55" s="2" t="s">
        <v>121</v>
      </c>
      <c r="E55" s="2" t="s">
        <v>122</v>
      </c>
      <c r="F55" s="2" t="s">
        <v>123</v>
      </c>
    </row>
    <row r="56" spans="8:8" ht="45.0">
      <c r="B56" s="8" t="s">
        <v>114</v>
      </c>
      <c r="C56" s="9">
        <v>0.0</v>
      </c>
      <c r="D56" s="3" t="s">
        <v>124</v>
      </c>
      <c r="E56" s="3" t="s">
        <v>124</v>
      </c>
      <c r="F56" s="12" t="s">
        <v>125</v>
      </c>
    </row>
    <row r="57" spans="8:8" ht="45.0">
      <c r="B57" s="8" t="s">
        <v>115</v>
      </c>
      <c r="C57" s="9">
        <v>0.1</v>
      </c>
      <c r="D57" s="3" t="s">
        <v>124</v>
      </c>
      <c r="E57" s="3" t="s">
        <v>126</v>
      </c>
      <c r="F57" s="12" t="s">
        <v>127</v>
      </c>
    </row>
    <row r="58" spans="8:8" ht="45.0">
      <c r="B58" s="8" t="s">
        <v>116</v>
      </c>
      <c r="C58" s="9">
        <v>0.18</v>
      </c>
      <c r="D58" s="3" t="s">
        <v>124</v>
      </c>
      <c r="E58" s="3" t="s">
        <v>128</v>
      </c>
      <c r="F58" s="12" t="s">
        <v>129</v>
      </c>
    </row>
    <row r="59" spans="8:8" ht="45.0">
      <c r="B59" s="8" t="s">
        <v>117</v>
      </c>
      <c r="C59" s="9">
        <v>0.25</v>
      </c>
      <c r="D59" s="3" t="s">
        <v>124</v>
      </c>
      <c r="E59" s="3" t="s">
        <v>130</v>
      </c>
      <c r="F59" s="12" t="s">
        <v>131</v>
      </c>
    </row>
    <row r="60" spans="8:8" ht="45.0">
      <c r="B60" s="8" t="s">
        <v>118</v>
      </c>
      <c r="C60" s="9">
        <v>0.33</v>
      </c>
      <c r="D60" s="3" t="s">
        <v>124</v>
      </c>
      <c r="E60" s="3" t="s">
        <v>132</v>
      </c>
      <c r="F60" s="12" t="s">
        <v>133</v>
      </c>
    </row>
  </sheetData>
  <mergeCells count="4">
    <mergeCell ref="B3:C3"/>
    <mergeCell ref="B19:C19"/>
    <mergeCell ref="B29:C29"/>
    <mergeCell ref="B44:C44"/>
  </mergeCells>
  <pageMargins left="0.7" right="0.7" top="0.75" bottom="0.75" header="0.3" footer="0.3"/>
  <pageSetup paperSize="9" scale="52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C00000"/>
  </sheetPr>
  <dimension ref="B1:AR9"/>
  <sheetViews>
    <sheetView workbookViewId="0">
      <selection activeCell="J4" sqref="J4:J9"/>
    </sheetView>
  </sheetViews>
  <sheetFormatPr defaultRowHeight="15.0" defaultColWidth="10"/>
  <cols>
    <col min="2" max="2" customWidth="1" width="18.710938" style="0"/>
    <col min="3" max="3" customWidth="1" width="17.285156" style="0"/>
    <col min="10" max="10" customWidth="0" width="11.425781" style="13"/>
  </cols>
  <sheetData>
    <row r="3" spans="8:8">
      <c r="B3" s="14" t="s">
        <v>144</v>
      </c>
    </row>
    <row r="4" spans="8:8" ht="30.0">
      <c r="B4" s="2" t="s">
        <v>136</v>
      </c>
      <c r="C4" s="2" t="s">
        <v>137</v>
      </c>
      <c r="D4" s="2" t="s">
        <v>138</v>
      </c>
      <c r="E4" s="2" t="s">
        <v>139</v>
      </c>
      <c r="F4" s="2" t="s">
        <v>140</v>
      </c>
      <c r="G4" s="2" t="s">
        <v>141</v>
      </c>
      <c r="H4" s="2" t="s">
        <v>142</v>
      </c>
      <c r="I4" s="2" t="s">
        <v>143</v>
      </c>
      <c r="J4" s="15" t="s">
        <v>461</v>
      </c>
    </row>
    <row r="5" spans="8:8">
      <c r="C5" s="3"/>
      <c r="D5" s="3"/>
      <c r="E5" s="3"/>
      <c r="F5" s="3"/>
      <c r="G5" s="3"/>
      <c r="H5" s="3"/>
      <c r="I5" s="3"/>
    </row>
    <row r="6" spans="8:8">
      <c r="B6" s="3" t="s">
        <v>145</v>
      </c>
      <c r="C6" s="3" t="s">
        <v>146</v>
      </c>
      <c r="D6" s="3">
        <v>600.0</v>
      </c>
      <c r="E6" s="3">
        <v>600.0</v>
      </c>
      <c r="F6" s="3">
        <v>540.0</v>
      </c>
      <c r="G6" s="3">
        <v>492.0</v>
      </c>
      <c r="H6" s="3">
        <v>450.0</v>
      </c>
      <c r="I6" s="3">
        <v>402.0</v>
      </c>
      <c r="J6" s="13">
        <v>300.0</v>
      </c>
    </row>
    <row r="7" spans="8:8">
      <c r="B7" s="3" t="s">
        <v>145</v>
      </c>
      <c r="C7" s="3" t="s">
        <v>147</v>
      </c>
      <c r="D7" s="3">
        <v>1200.0</v>
      </c>
      <c r="E7" s="3">
        <v>1200.0</v>
      </c>
      <c r="F7" s="3">
        <v>1080.0</v>
      </c>
      <c r="G7" s="3">
        <v>984.0</v>
      </c>
      <c r="H7" s="3">
        <v>900.0</v>
      </c>
      <c r="I7" s="3">
        <v>804.0</v>
      </c>
      <c r="J7" s="13">
        <v>600.0</v>
      </c>
    </row>
    <row r="8" spans="8:8">
      <c r="B8" s="3" t="s">
        <v>148</v>
      </c>
      <c r="C8" s="3" t="s">
        <v>146</v>
      </c>
      <c r="D8" s="3">
        <v>1200.0</v>
      </c>
      <c r="E8" s="3">
        <v>1200.0</v>
      </c>
      <c r="F8" s="3">
        <v>1080.0</v>
      </c>
      <c r="G8" s="3">
        <v>984.0</v>
      </c>
      <c r="H8" s="3">
        <v>900.0</v>
      </c>
      <c r="I8" s="3">
        <v>804.0</v>
      </c>
      <c r="J8" s="13">
        <v>600.0</v>
      </c>
    </row>
    <row r="9" spans="8:8">
      <c r="B9" s="3" t="s">
        <v>148</v>
      </c>
      <c r="C9" s="3" t="s">
        <v>147</v>
      </c>
      <c r="D9" s="3">
        <v>2400.0</v>
      </c>
      <c r="E9" s="3">
        <v>2400.0</v>
      </c>
      <c r="F9" s="3">
        <v>2160.0</v>
      </c>
      <c r="G9" s="3">
        <v>1968.0</v>
      </c>
      <c r="H9" s="3">
        <v>1800.0</v>
      </c>
      <c r="I9" s="3">
        <v>1608.0</v>
      </c>
      <c r="J9" s="13">
        <v>1200.0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C00000"/>
  </sheetPr>
  <dimension ref="B1:AR10"/>
  <sheetViews>
    <sheetView workbookViewId="0" topLeftCell="C1">
      <selection activeCell="I27" sqref="I27"/>
    </sheetView>
  </sheetViews>
  <sheetFormatPr defaultRowHeight="15.0" defaultColWidth="10"/>
  <cols>
    <col min="2" max="2" customWidth="1" width="16.140625" style="0"/>
  </cols>
  <sheetData>
    <row r="3" spans="8:8">
      <c r="B3" s="14" t="s">
        <v>149</v>
      </c>
    </row>
    <row r="5" spans="8:8" ht="45.0">
      <c r="B5" s="2" t="s">
        <v>136</v>
      </c>
      <c r="C5" s="2" t="s">
        <v>137</v>
      </c>
      <c r="D5" s="2" t="s">
        <v>138</v>
      </c>
      <c r="E5" s="2" t="s">
        <v>139</v>
      </c>
      <c r="F5" s="2" t="s">
        <v>140</v>
      </c>
      <c r="G5" s="2" t="s">
        <v>141</v>
      </c>
      <c r="H5" s="2" t="s">
        <v>142</v>
      </c>
      <c r="I5" s="2" t="s">
        <v>143</v>
      </c>
      <c r="J5" s="15" t="s">
        <v>461</v>
      </c>
    </row>
    <row r="6" spans="8:8">
      <c r="C6" s="3"/>
      <c r="D6" s="3"/>
      <c r="E6" s="3"/>
      <c r="F6" s="3"/>
      <c r="G6" s="3"/>
      <c r="H6" s="3"/>
      <c r="I6" s="3"/>
      <c r="J6" s="13"/>
    </row>
    <row r="7" spans="8:8">
      <c r="B7" s="3" t="s">
        <v>150</v>
      </c>
      <c r="C7" s="3"/>
      <c r="D7" s="3">
        <v>800.0</v>
      </c>
      <c r="E7" s="3">
        <v>800.0</v>
      </c>
      <c r="F7" s="3">
        <v>720.0</v>
      </c>
      <c r="G7" s="3">
        <v>656.0</v>
      </c>
      <c r="H7" s="3">
        <v>600.0</v>
      </c>
      <c r="I7" s="3">
        <v>536.0</v>
      </c>
      <c r="J7" s="13">
        <v>400.0</v>
      </c>
    </row>
    <row r="8" spans="8:8">
      <c r="B8" s="3" t="s">
        <v>151</v>
      </c>
      <c r="C8" s="3"/>
      <c r="D8" s="3">
        <v>1200.0</v>
      </c>
      <c r="E8" s="3">
        <v>1200.0</v>
      </c>
      <c r="F8" s="3">
        <v>1080.0</v>
      </c>
      <c r="G8" s="3">
        <v>984.0</v>
      </c>
      <c r="H8" s="3">
        <v>900.0</v>
      </c>
      <c r="I8" s="3">
        <v>804.0</v>
      </c>
      <c r="J8" s="13">
        <v>600.0</v>
      </c>
    </row>
    <row r="9" spans="8:8">
      <c r="B9" s="3" t="s">
        <v>152</v>
      </c>
      <c r="C9" s="3"/>
      <c r="D9" s="3">
        <v>2000.0</v>
      </c>
      <c r="E9" s="3">
        <v>2000.0</v>
      </c>
      <c r="F9" s="3">
        <v>1800.0</v>
      </c>
      <c r="G9" s="3">
        <v>1640.0</v>
      </c>
      <c r="H9" s="3">
        <v>1500.0</v>
      </c>
      <c r="I9" s="3">
        <v>1340.0</v>
      </c>
      <c r="J9" s="13">
        <v>1000.0</v>
      </c>
    </row>
    <row r="10" spans="8:8">
      <c r="B10" s="3" t="s">
        <v>148</v>
      </c>
      <c r="C10" s="3"/>
      <c r="D10" s="3">
        <v>4000.0</v>
      </c>
      <c r="E10" s="3">
        <v>4000.0</v>
      </c>
      <c r="F10" s="3">
        <v>3600.0</v>
      </c>
      <c r="G10" s="3">
        <v>3280.0</v>
      </c>
      <c r="H10" s="3">
        <v>3000.0</v>
      </c>
      <c r="I10" s="3">
        <v>2680.0</v>
      </c>
      <c r="J10" s="13">
        <v>2000.0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C00000"/>
  </sheetPr>
  <dimension ref="C1:AP38"/>
  <sheetViews>
    <sheetView tabSelected="1" workbookViewId="0" topLeftCell="C14" zoomScale="52">
      <selection activeCell="C31" sqref="C31:H38"/>
    </sheetView>
  </sheetViews>
  <sheetFormatPr defaultRowHeight="15.0" defaultColWidth="10"/>
  <cols>
    <col min="3" max="3" customWidth="1" width="15.140625" style="0"/>
    <col min="5" max="5" customWidth="1" bestFit="1" width="20.425781" style="0"/>
    <col min="8" max="8" customWidth="0" width="11.425781" style="16"/>
  </cols>
  <sheetData>
    <row r="4" spans="8:8" ht="15.75">
      <c r="C4" s="17" t="s">
        <v>154</v>
      </c>
      <c r="D4" s="17"/>
      <c r="E4" s="18" t="s">
        <v>167</v>
      </c>
      <c r="F4" s="11" t="s">
        <v>168</v>
      </c>
    </row>
    <row r="6" spans="8:8" ht="30.0">
      <c r="C6" s="2" t="s">
        <v>153</v>
      </c>
      <c r="D6" s="2" t="s">
        <v>155</v>
      </c>
      <c r="E6" s="2" t="s">
        <v>156</v>
      </c>
      <c r="F6" s="2" t="s">
        <v>157</v>
      </c>
      <c r="G6" s="2" t="s">
        <v>158</v>
      </c>
      <c r="H6" s="19"/>
    </row>
    <row r="7" spans="8:8">
      <c r="C7" s="20" t="s">
        <v>146</v>
      </c>
      <c r="D7" s="21">
        <v>200.0</v>
      </c>
      <c r="E7" s="3" t="s">
        <v>159</v>
      </c>
      <c r="F7" s="9">
        <v>0.0</v>
      </c>
      <c r="G7" s="22">
        <v>200.0</v>
      </c>
      <c r="H7" s="23">
        <v>200.0</v>
      </c>
    </row>
    <row r="8" spans="8:8">
      <c r="C8" s="3"/>
      <c r="D8" s="21"/>
      <c r="E8" s="3" t="s">
        <v>160</v>
      </c>
      <c r="F8" s="9">
        <v>0.1</v>
      </c>
      <c r="G8" s="22">
        <v>180.0</v>
      </c>
      <c r="H8" s="23">
        <v>180.0</v>
      </c>
    </row>
    <row r="9" spans="8:8">
      <c r="C9" s="3"/>
      <c r="D9" s="21"/>
      <c r="E9" s="3" t="s">
        <v>161</v>
      </c>
      <c r="F9" s="9">
        <v>0.25</v>
      </c>
      <c r="G9" s="22">
        <v>150.0</v>
      </c>
      <c r="H9" s="16">
        <v>150.0</v>
      </c>
    </row>
    <row r="10" spans="8:8">
      <c r="C10" s="3"/>
      <c r="D10" s="21"/>
      <c r="E10" s="3" t="s">
        <v>162</v>
      </c>
      <c r="F10" s="9">
        <v>0.4</v>
      </c>
      <c r="G10" s="22">
        <v>120.0</v>
      </c>
      <c r="H10" s="16">
        <v>120.0</v>
      </c>
    </row>
    <row r="11" spans="8:8">
      <c r="C11" s="3"/>
      <c r="D11" s="21"/>
      <c r="E11" s="3" t="s">
        <v>163</v>
      </c>
      <c r="F11" s="9">
        <v>0.5</v>
      </c>
      <c r="G11" s="22">
        <v>100.0</v>
      </c>
      <c r="H11" s="16">
        <v>100.0</v>
      </c>
    </row>
    <row r="12" spans="8:8">
      <c r="C12" s="3"/>
      <c r="D12" s="21"/>
      <c r="E12" s="3" t="s">
        <v>164</v>
      </c>
      <c r="F12" s="9">
        <v>0.6</v>
      </c>
      <c r="G12" s="22">
        <v>80.0</v>
      </c>
      <c r="H12" s="16">
        <v>80.0</v>
      </c>
    </row>
    <row r="13" spans="8:8">
      <c r="C13" s="3"/>
      <c r="D13" s="21"/>
      <c r="E13" s="21" t="s">
        <v>462</v>
      </c>
      <c r="F13" s="24">
        <v>0.67</v>
      </c>
      <c r="G13" s="22">
        <v>70.0</v>
      </c>
      <c r="H13" s="16">
        <v>70.0</v>
      </c>
    </row>
    <row r="17" spans="8:8" ht="15.75">
      <c r="C17" s="17" t="s">
        <v>166</v>
      </c>
      <c r="D17" s="17"/>
      <c r="E17" s="18" t="s">
        <v>169</v>
      </c>
      <c r="F17" s="11" t="s">
        <v>168</v>
      </c>
    </row>
    <row r="19" spans="8:8" ht="30.0">
      <c r="C19" s="2" t="s">
        <v>153</v>
      </c>
      <c r="D19" s="2" t="s">
        <v>165</v>
      </c>
      <c r="E19" s="2" t="s">
        <v>156</v>
      </c>
      <c r="F19" s="2" t="s">
        <v>157</v>
      </c>
      <c r="G19" s="2" t="s">
        <v>158</v>
      </c>
    </row>
    <row r="20" spans="8:8">
      <c r="C20" s="21" t="s">
        <v>146</v>
      </c>
      <c r="D20" s="21">
        <v>400.0</v>
      </c>
      <c r="E20" s="3" t="s">
        <v>159</v>
      </c>
      <c r="F20" s="9">
        <v>0.0</v>
      </c>
      <c r="G20" s="22">
        <v>400.0</v>
      </c>
      <c r="H20" s="16">
        <v>400.0</v>
      </c>
    </row>
    <row r="21" spans="8:8">
      <c r="C21" s="3"/>
      <c r="D21" s="21"/>
      <c r="E21" s="3" t="s">
        <v>160</v>
      </c>
      <c r="F21" s="9">
        <v>0.1</v>
      </c>
      <c r="G21" s="22">
        <v>360.0</v>
      </c>
      <c r="H21" s="16">
        <v>350.0</v>
      </c>
    </row>
    <row r="22" spans="8:8">
      <c r="C22" s="3"/>
      <c r="D22" s="21"/>
      <c r="E22" s="3" t="s">
        <v>161</v>
      </c>
      <c r="F22" s="9">
        <v>0.25</v>
      </c>
      <c r="G22" s="22">
        <v>300.0</v>
      </c>
      <c r="H22" s="16">
        <v>300.0</v>
      </c>
    </row>
    <row r="23" spans="8:8">
      <c r="C23" s="3"/>
      <c r="D23" s="21"/>
      <c r="E23" s="3" t="s">
        <v>162</v>
      </c>
      <c r="F23" s="9">
        <v>0.4</v>
      </c>
      <c r="G23" s="22">
        <v>240.0</v>
      </c>
      <c r="H23" s="16">
        <v>250.0</v>
      </c>
    </row>
    <row r="24" spans="8:8">
      <c r="C24" s="3"/>
      <c r="D24" s="21"/>
      <c r="E24" s="3" t="s">
        <v>163</v>
      </c>
      <c r="F24" s="9">
        <v>0.5</v>
      </c>
      <c r="G24" s="22">
        <v>200.0</v>
      </c>
      <c r="H24" s="16">
        <v>200.0</v>
      </c>
    </row>
    <row r="25" spans="8:8">
      <c r="C25" s="3"/>
      <c r="D25" s="21"/>
      <c r="E25" s="3" t="s">
        <v>164</v>
      </c>
      <c r="F25" s="9">
        <v>0.6</v>
      </c>
      <c r="G25" s="22">
        <v>160.0</v>
      </c>
      <c r="H25" s="16">
        <v>150.0</v>
      </c>
    </row>
    <row r="26" spans="8:8">
      <c r="C26" s="3"/>
      <c r="D26" s="21"/>
      <c r="E26" s="21" t="s">
        <v>462</v>
      </c>
      <c r="F26" s="24">
        <v>0.67</v>
      </c>
      <c r="G26" s="22">
        <v>140.0</v>
      </c>
      <c r="H26" s="16">
        <v>100.0</v>
      </c>
    </row>
    <row r="29" spans="8:8" ht="15.75">
      <c r="C29" s="17" t="s">
        <v>166</v>
      </c>
      <c r="D29" s="17"/>
      <c r="E29" s="18" t="s">
        <v>170</v>
      </c>
      <c r="F29" s="11" t="s">
        <v>168</v>
      </c>
    </row>
    <row r="31" spans="8:8" ht="30.0">
      <c r="C31" s="2" t="s">
        <v>153</v>
      </c>
      <c r="D31" s="2" t="s">
        <v>165</v>
      </c>
      <c r="E31" s="2" t="s">
        <v>156</v>
      </c>
      <c r="F31" s="2" t="s">
        <v>157</v>
      </c>
      <c r="G31" s="2" t="s">
        <v>158</v>
      </c>
    </row>
    <row r="32" spans="8:8">
      <c r="C32" s="21" t="s">
        <v>146</v>
      </c>
      <c r="D32" s="21">
        <v>600.0</v>
      </c>
      <c r="E32" s="3" t="s">
        <v>159</v>
      </c>
      <c r="F32" s="9">
        <v>0.0</v>
      </c>
      <c r="G32" s="22">
        <v>600.0</v>
      </c>
      <c r="H32" s="16">
        <v>600.0</v>
      </c>
    </row>
    <row r="33" spans="8:8">
      <c r="C33" s="3"/>
      <c r="D33" s="21"/>
      <c r="E33" s="3" t="s">
        <v>160</v>
      </c>
      <c r="F33" s="9">
        <v>0.1</v>
      </c>
      <c r="G33" s="22">
        <v>540.0</v>
      </c>
      <c r="H33" s="16">
        <v>450.0</v>
      </c>
    </row>
    <row r="34" spans="8:8">
      <c r="C34" s="3"/>
      <c r="D34" s="21"/>
      <c r="E34" s="3" t="s">
        <v>161</v>
      </c>
      <c r="F34" s="9">
        <v>0.25</v>
      </c>
      <c r="G34" s="22">
        <v>450.0</v>
      </c>
      <c r="H34" s="16">
        <v>400.0</v>
      </c>
    </row>
    <row r="35" spans="8:8">
      <c r="C35" s="3"/>
      <c r="D35" s="21"/>
      <c r="E35" s="3" t="s">
        <v>162</v>
      </c>
      <c r="F35" s="9">
        <v>0.4</v>
      </c>
      <c r="G35" s="22">
        <v>360.0</v>
      </c>
      <c r="H35" s="16">
        <v>350.0</v>
      </c>
    </row>
    <row r="36" spans="8:8">
      <c r="C36" s="3"/>
      <c r="D36" s="21"/>
      <c r="E36" s="3" t="s">
        <v>163</v>
      </c>
      <c r="F36" s="9">
        <v>0.5</v>
      </c>
      <c r="G36" s="22">
        <v>300.0</v>
      </c>
      <c r="H36" s="16">
        <v>300.0</v>
      </c>
    </row>
    <row r="37" spans="8:8">
      <c r="C37" s="3"/>
      <c r="D37" s="21"/>
      <c r="E37" s="3" t="s">
        <v>164</v>
      </c>
      <c r="F37" s="9">
        <v>0.6</v>
      </c>
      <c r="G37" s="22">
        <v>240.0</v>
      </c>
      <c r="H37" s="16">
        <v>250.0</v>
      </c>
    </row>
    <row r="38" spans="8:8">
      <c r="C38" s="3"/>
      <c r="D38" s="21"/>
      <c r="E38" s="21" t="s">
        <v>462</v>
      </c>
      <c r="F38" s="24">
        <v>0.67</v>
      </c>
      <c r="G38" s="22">
        <v>200.0</v>
      </c>
      <c r="H38" s="16">
        <v>200.0</v>
      </c>
    </row>
  </sheetData>
  <mergeCells count="3">
    <mergeCell ref="C4:D4"/>
    <mergeCell ref="C17:D17"/>
    <mergeCell ref="C29:D29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C00000"/>
  </sheetPr>
  <dimension ref="B3:AT59"/>
  <sheetViews>
    <sheetView workbookViewId="0" topLeftCell="D11" zoomScale="69">
      <selection activeCell="A26" sqref="A26:XFD26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172</v>
      </c>
      <c r="C37" s="17"/>
      <c r="D37" s="18" t="s">
        <v>167</v>
      </c>
      <c r="E37" s="11" t="s">
        <v>173</v>
      </c>
    </row>
    <row r="39" spans="8:8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25">
        <v>800.0</v>
      </c>
      <c r="E40" s="16">
        <v>1000.0</v>
      </c>
    </row>
    <row r="41" spans="8:8">
      <c r="B41" s="3" t="s">
        <v>160</v>
      </c>
      <c r="C41" s="9">
        <v>0.1</v>
      </c>
      <c r="D41" s="25">
        <v>720.0</v>
      </c>
      <c r="E41" s="16">
        <v>700.0</v>
      </c>
    </row>
    <row r="42" spans="8:8">
      <c r="B42" s="3" t="s">
        <v>161</v>
      </c>
      <c r="C42" s="9">
        <v>0.25</v>
      </c>
      <c r="D42" s="25">
        <v>600.0</v>
      </c>
      <c r="E42" s="16">
        <v>600.0</v>
      </c>
    </row>
    <row r="43" spans="8:8">
      <c r="B43" s="3" t="s">
        <v>162</v>
      </c>
      <c r="C43" s="9">
        <v>0.4</v>
      </c>
      <c r="D43" s="25">
        <v>480.0</v>
      </c>
      <c r="E43" s="16">
        <v>500.0</v>
      </c>
    </row>
    <row r="44" spans="8:8">
      <c r="B44" s="3" t="s">
        <v>163</v>
      </c>
      <c r="C44" s="9">
        <v>0.5</v>
      </c>
      <c r="D44" s="25">
        <v>400.0</v>
      </c>
      <c r="E44" s="16">
        <v>400.0</v>
      </c>
    </row>
    <row r="45" spans="8:8">
      <c r="B45" s="3" t="s">
        <v>164</v>
      </c>
      <c r="C45" s="9">
        <v>0.6</v>
      </c>
      <c r="D45" s="25">
        <v>320.0</v>
      </c>
      <c r="E45" s="16">
        <v>300.0</v>
      </c>
    </row>
    <row r="46" spans="8:8">
      <c r="B46" s="21" t="s">
        <v>462</v>
      </c>
      <c r="C46" s="24">
        <v>0.67</v>
      </c>
      <c r="D46" s="25">
        <v>270.0</v>
      </c>
      <c r="E46" s="16">
        <v>250.0</v>
      </c>
    </row>
    <row r="48" spans="8:8">
      <c r="B48" s="26" t="s">
        <v>176</v>
      </c>
    </row>
    <row r="51" spans="8:8">
      <c r="G51" s="2"/>
      <c r="H51" s="2"/>
      <c r="I51" s="2"/>
      <c r="J51" s="2"/>
      <c r="K51" s="2"/>
    </row>
    <row r="52" spans="8:8">
      <c r="G52" s="2"/>
      <c r="H52" s="2"/>
      <c r="I52" s="2"/>
      <c r="J52" s="2"/>
      <c r="K52" s="2"/>
      <c r="L52" s="16"/>
    </row>
    <row r="53" spans="8:8">
      <c r="G53" s="21"/>
      <c r="H53" s="21"/>
      <c r="I53" s="3"/>
      <c r="J53" s="9"/>
      <c r="K53" s="22"/>
      <c r="L53" s="16"/>
    </row>
    <row r="54" spans="8:8">
      <c r="G54" s="3"/>
      <c r="H54" s="21"/>
      <c r="I54" s="3"/>
      <c r="J54" s="9"/>
      <c r="K54" s="22"/>
      <c r="L54" s="16"/>
    </row>
    <row r="55" spans="8:8">
      <c r="G55" s="3"/>
      <c r="H55" s="21"/>
      <c r="I55" s="3"/>
      <c r="J55" s="9"/>
      <c r="K55" s="22"/>
      <c r="L55" s="16"/>
    </row>
    <row r="56" spans="8:8">
      <c r="G56" s="3"/>
      <c r="H56" s="21"/>
      <c r="I56" s="3"/>
      <c r="J56" s="9"/>
      <c r="K56" s="22"/>
      <c r="L56" s="16"/>
    </row>
    <row r="57" spans="8:8">
      <c r="G57" s="3"/>
      <c r="H57" s="21"/>
      <c r="I57" s="3"/>
      <c r="J57" s="9"/>
      <c r="K57" s="22"/>
      <c r="L57" s="16"/>
    </row>
    <row r="58" spans="8:8">
      <c r="G58" s="3"/>
      <c r="H58" s="21"/>
      <c r="I58" s="3"/>
      <c r="J58" s="9"/>
      <c r="K58" s="22"/>
      <c r="L58" s="16"/>
    </row>
    <row r="59" spans="8:8">
      <c r="G59" s="3"/>
      <c r="H59" s="21"/>
      <c r="I59" s="21"/>
      <c r="J59" s="24"/>
      <c r="K59" s="22"/>
      <c r="L59" s="16"/>
    </row>
  </sheetData>
  <mergeCells count="1">
    <mergeCell ref="B37:C37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C00000"/>
  </sheetPr>
  <dimension ref="B3:AQ60"/>
  <sheetViews>
    <sheetView workbookViewId="0" topLeftCell="A31">
      <selection activeCell="B40" sqref="B40:E46"/>
    </sheetView>
  </sheetViews>
  <sheetFormatPr defaultRowHeight="15.0" defaultColWidth="10"/>
  <cols>
    <col min="2" max="2" customWidth="1" width="16.425781" style="0"/>
    <col min="4" max="4" customWidth="1" bestFit="1" width="16.140625" style="0"/>
    <col min="6" max="6" customWidth="1" width="23.0" style="0"/>
    <col min="7" max="7" customWidth="1" width="25.425781" style="0"/>
  </cols>
  <sheetData>
    <row r="37" spans="8:8" ht="15.75">
      <c r="B37" s="17" t="s">
        <v>172</v>
      </c>
      <c r="C37" s="17"/>
      <c r="D37" s="18" t="s">
        <v>167</v>
      </c>
      <c r="E37" s="11" t="s">
        <v>174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22">
        <v>850.0</v>
      </c>
      <c r="E40" s="16">
        <v>1200.0</v>
      </c>
    </row>
    <row r="41" spans="8:8">
      <c r="B41" s="3" t="s">
        <v>160</v>
      </c>
      <c r="C41" s="9">
        <v>0.1</v>
      </c>
      <c r="D41" s="22">
        <v>765.0</v>
      </c>
      <c r="E41" s="16">
        <v>750.0</v>
      </c>
    </row>
    <row r="42" spans="8:8">
      <c r="B42" s="3" t="s">
        <v>161</v>
      </c>
      <c r="C42" s="9">
        <v>0.25</v>
      </c>
      <c r="D42" s="22">
        <v>638.0</v>
      </c>
      <c r="E42" s="16">
        <v>650.0</v>
      </c>
    </row>
    <row r="43" spans="8:8">
      <c r="B43" s="3" t="s">
        <v>162</v>
      </c>
      <c r="C43" s="9">
        <v>0.4</v>
      </c>
      <c r="D43" s="22">
        <v>510.0</v>
      </c>
      <c r="E43" s="16">
        <v>550.0</v>
      </c>
    </row>
    <row r="44" spans="8:8">
      <c r="B44" s="3" t="s">
        <v>163</v>
      </c>
      <c r="C44" s="9">
        <v>0.5</v>
      </c>
      <c r="D44" s="22">
        <v>425.0</v>
      </c>
      <c r="E44" s="16">
        <v>450.0</v>
      </c>
    </row>
    <row r="45" spans="8:8">
      <c r="B45" s="3" t="s">
        <v>164</v>
      </c>
      <c r="C45" s="9">
        <v>0.6</v>
      </c>
      <c r="D45" s="22">
        <v>340.0</v>
      </c>
      <c r="E45" s="16">
        <v>350.0</v>
      </c>
    </row>
    <row r="46" spans="8:8">
      <c r="B46" s="21" t="s">
        <v>462</v>
      </c>
      <c r="C46" s="24">
        <v>0.67</v>
      </c>
      <c r="D46" s="25">
        <v>284.0</v>
      </c>
      <c r="E46" s="16">
        <v>300.0</v>
      </c>
    </row>
    <row r="48" spans="8:8">
      <c r="B48" s="26" t="s">
        <v>176</v>
      </c>
    </row>
    <row r="53" spans="8:8">
      <c r="F53" s="2"/>
      <c r="G53" s="2"/>
      <c r="H53" s="2"/>
    </row>
    <row r="54" spans="8:8">
      <c r="F54" s="3"/>
      <c r="G54" s="9"/>
      <c r="H54" s="25"/>
      <c r="I54" s="16"/>
    </row>
    <row r="55" spans="8:8">
      <c r="F55" s="3"/>
      <c r="G55" s="9"/>
      <c r="H55" s="25"/>
      <c r="I55" s="16"/>
    </row>
    <row r="56" spans="8:8">
      <c r="F56" s="3"/>
      <c r="G56" s="9"/>
      <c r="H56" s="25"/>
      <c r="I56" s="16"/>
    </row>
    <row r="57" spans="8:8">
      <c r="F57" s="3"/>
      <c r="G57" s="9"/>
      <c r="H57" s="25"/>
      <c r="I57" s="16"/>
    </row>
    <row r="58" spans="8:8">
      <c r="F58" s="3"/>
      <c r="G58" s="9"/>
      <c r="H58" s="25"/>
      <c r="I58" s="16"/>
    </row>
    <row r="59" spans="8:8">
      <c r="F59" s="3"/>
      <c r="G59" s="9"/>
      <c r="H59" s="25"/>
      <c r="I59" s="16"/>
    </row>
    <row r="60" spans="8:8">
      <c r="F60" s="21"/>
      <c r="G60" s="24"/>
      <c r="H60" s="25"/>
      <c r="I60" s="16"/>
    </row>
  </sheetData>
  <mergeCells count="1">
    <mergeCell ref="B37:C37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C00000"/>
  </sheetPr>
  <dimension ref="B3:AR59"/>
  <sheetViews>
    <sheetView workbookViewId="0" topLeftCell="D20" zoomScale="69">
      <selection activeCell="M54" sqref="M54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184</v>
      </c>
      <c r="C37" s="17"/>
      <c r="D37" s="18" t="s">
        <v>167</v>
      </c>
      <c r="E37" s="11" t="s">
        <v>175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27">
        <v>1000.0</v>
      </c>
      <c r="E40" s="16">
        <v>1500.0</v>
      </c>
    </row>
    <row r="41" spans="8:8">
      <c r="B41" s="3" t="s">
        <v>160</v>
      </c>
      <c r="C41" s="9">
        <v>0.1</v>
      </c>
      <c r="D41" s="22">
        <v>900.0</v>
      </c>
      <c r="E41" s="16">
        <v>1000.0</v>
      </c>
    </row>
    <row r="42" spans="8:8">
      <c r="B42" s="3" t="s">
        <v>161</v>
      </c>
      <c r="C42" s="9">
        <v>0.25</v>
      </c>
      <c r="D42" s="22">
        <v>750.0</v>
      </c>
      <c r="E42" s="16">
        <v>750.0</v>
      </c>
    </row>
    <row r="43" spans="8:8">
      <c r="B43" s="3" t="s">
        <v>162</v>
      </c>
      <c r="C43" s="9">
        <v>0.4</v>
      </c>
      <c r="D43" s="22">
        <v>600.0</v>
      </c>
      <c r="E43" s="16">
        <v>650.0</v>
      </c>
    </row>
    <row r="44" spans="8:8">
      <c r="B44" s="3" t="s">
        <v>163</v>
      </c>
      <c r="C44" s="9">
        <v>0.5</v>
      </c>
      <c r="D44" s="22">
        <v>500.0</v>
      </c>
      <c r="E44" s="16">
        <v>550.0</v>
      </c>
    </row>
    <row r="45" spans="8:8">
      <c r="B45" s="3" t="s">
        <v>164</v>
      </c>
      <c r="C45" s="9">
        <v>0.6</v>
      </c>
      <c r="D45" s="22">
        <v>400.0</v>
      </c>
      <c r="E45" s="16">
        <v>450.0</v>
      </c>
    </row>
    <row r="46" spans="8:8">
      <c r="B46" s="21" t="s">
        <v>462</v>
      </c>
      <c r="C46" s="24">
        <v>0.67</v>
      </c>
      <c r="D46" s="22">
        <v>333.0</v>
      </c>
      <c r="E46" s="16">
        <v>350.0</v>
      </c>
    </row>
    <row r="48" spans="8:8">
      <c r="B48" s="26" t="s">
        <v>176</v>
      </c>
    </row>
    <row r="53" spans="8:8">
      <c r="G53" s="3"/>
      <c r="H53" s="9"/>
      <c r="I53" s="22"/>
      <c r="J53" s="16"/>
    </row>
    <row r="54" spans="8:8">
      <c r="G54" s="3"/>
      <c r="H54" s="9"/>
      <c r="I54" s="22"/>
      <c r="J54" s="16"/>
    </row>
    <row r="55" spans="8:8">
      <c r="G55" s="3"/>
      <c r="H55" s="9"/>
      <c r="I55" s="22"/>
      <c r="J55" s="16"/>
    </row>
    <row r="56" spans="8:8">
      <c r="G56" s="3"/>
      <c r="H56" s="9"/>
      <c r="I56" s="22"/>
      <c r="J56" s="16"/>
    </row>
    <row r="57" spans="8:8">
      <c r="G57" s="3"/>
      <c r="H57" s="9"/>
      <c r="I57" s="22"/>
      <c r="J57" s="16"/>
    </row>
    <row r="58" spans="8:8">
      <c r="G58" s="3"/>
      <c r="H58" s="9"/>
      <c r="I58" s="22"/>
      <c r="J58" s="16"/>
    </row>
    <row r="59" spans="8:8">
      <c r="G59" s="21"/>
      <c r="H59" s="24"/>
      <c r="I59" s="25"/>
      <c r="J59" s="16"/>
    </row>
  </sheetData>
  <mergeCells count="1">
    <mergeCell ref="B37:C37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C00000"/>
  </sheetPr>
  <dimension ref="B3:AS63"/>
  <sheetViews>
    <sheetView workbookViewId="0" topLeftCell="A37">
      <selection activeCell="B46" sqref="B46:E46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178</v>
      </c>
      <c r="C37" s="17"/>
      <c r="D37" s="18" t="s">
        <v>177</v>
      </c>
      <c r="E37" s="11" t="s">
        <v>179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27">
        <v>1500.0</v>
      </c>
      <c r="E40" s="16">
        <v>2000.0</v>
      </c>
    </row>
    <row r="41" spans="8:8">
      <c r="B41" s="3" t="s">
        <v>160</v>
      </c>
      <c r="C41" s="9">
        <v>0.1</v>
      </c>
      <c r="D41" s="27">
        <v>1350.0</v>
      </c>
      <c r="E41" s="16">
        <v>1200.0</v>
      </c>
    </row>
    <row r="42" spans="8:8">
      <c r="B42" s="3" t="s">
        <v>161</v>
      </c>
      <c r="C42" s="9">
        <v>0.25</v>
      </c>
      <c r="D42" s="27">
        <v>1125.0</v>
      </c>
      <c r="E42" s="16">
        <v>850.0</v>
      </c>
    </row>
    <row r="43" spans="8:8">
      <c r="B43" s="3" t="s">
        <v>162</v>
      </c>
      <c r="C43" s="9">
        <v>0.4</v>
      </c>
      <c r="D43" s="22">
        <v>900.0</v>
      </c>
      <c r="E43" s="16">
        <v>750.0</v>
      </c>
    </row>
    <row r="44" spans="8:8">
      <c r="B44" s="3" t="s">
        <v>163</v>
      </c>
      <c r="C44" s="9">
        <v>0.5</v>
      </c>
      <c r="D44" s="22">
        <v>750.0</v>
      </c>
      <c r="E44" s="16">
        <v>650.0</v>
      </c>
    </row>
    <row r="45" spans="8:8">
      <c r="B45" s="3" t="s">
        <v>164</v>
      </c>
      <c r="C45" s="9">
        <v>0.6</v>
      </c>
      <c r="D45" s="22">
        <v>600.0</v>
      </c>
      <c r="E45" s="16">
        <v>550.0</v>
      </c>
    </row>
    <row r="46" spans="8:8">
      <c r="B46" s="21" t="s">
        <v>462</v>
      </c>
      <c r="C46" s="24">
        <v>0.67</v>
      </c>
      <c r="D46" s="22">
        <v>500.0</v>
      </c>
      <c r="E46" s="16">
        <v>450.0</v>
      </c>
    </row>
    <row r="48" spans="8:8">
      <c r="B48" s="26" t="s">
        <v>176</v>
      </c>
    </row>
    <row r="57" spans="8:8">
      <c r="H57" s="3"/>
      <c r="I57" s="9"/>
      <c r="J57" s="27"/>
      <c r="K57" s="16"/>
    </row>
    <row r="58" spans="8:8">
      <c r="H58" s="3"/>
      <c r="I58" s="9"/>
      <c r="J58" s="22"/>
      <c r="K58" s="16"/>
    </row>
    <row r="59" spans="8:8">
      <c r="H59" s="3"/>
      <c r="I59" s="9"/>
      <c r="J59" s="22"/>
      <c r="K59" s="16"/>
    </row>
    <row r="60" spans="8:8">
      <c r="H60" s="3"/>
      <c r="I60" s="9"/>
      <c r="J60" s="22"/>
      <c r="K60" s="16"/>
    </row>
    <row r="61" spans="8:8">
      <c r="H61" s="3"/>
      <c r="I61" s="9"/>
      <c r="J61" s="22"/>
      <c r="K61" s="16"/>
    </row>
    <row r="62" spans="8:8">
      <c r="H62" s="3"/>
      <c r="I62" s="9"/>
      <c r="J62" s="22"/>
      <c r="K62" s="16"/>
    </row>
    <row r="63" spans="8:8">
      <c r="H63" s="21"/>
      <c r="I63" s="24"/>
      <c r="J63" s="22"/>
      <c r="K63" s="16"/>
    </row>
  </sheetData>
  <mergeCells count="1">
    <mergeCell ref="B37:C37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B3:AM48"/>
  <sheetViews>
    <sheetView workbookViewId="0" topLeftCell="A34">
      <selection activeCell="K59" sqref="K59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178</v>
      </c>
      <c r="C37" s="17"/>
      <c r="D37" s="18" t="s">
        <v>177</v>
      </c>
      <c r="E37" s="11" t="s">
        <v>180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4">
        <v>2500.0</v>
      </c>
    </row>
    <row r="41" spans="8:8">
      <c r="B41" s="3" t="s">
        <v>160</v>
      </c>
      <c r="C41" s="9">
        <v>0.1</v>
      </c>
      <c r="D41" s="4">
        <v>2250.0</v>
      </c>
    </row>
    <row r="42" spans="8:8">
      <c r="B42" s="3" t="s">
        <v>161</v>
      </c>
      <c r="C42" s="9">
        <v>0.25</v>
      </c>
      <c r="D42" s="4">
        <v>1875.0</v>
      </c>
    </row>
    <row r="43" spans="8:8">
      <c r="B43" s="3" t="s">
        <v>162</v>
      </c>
      <c r="C43" s="9">
        <v>0.4</v>
      </c>
      <c r="D43" s="4">
        <v>1500.0</v>
      </c>
    </row>
    <row r="44" spans="8:8">
      <c r="B44" s="3" t="s">
        <v>163</v>
      </c>
      <c r="C44" s="9">
        <v>0.5</v>
      </c>
      <c r="D44" s="4">
        <v>1250.0</v>
      </c>
    </row>
    <row r="45" spans="8:8">
      <c r="B45" s="3" t="s">
        <v>164</v>
      </c>
      <c r="C45" s="9">
        <v>0.6</v>
      </c>
      <c r="D45" s="4">
        <v>1000.0</v>
      </c>
    </row>
    <row r="48" spans="8:8">
      <c r="B48" s="26" t="s">
        <v>176</v>
      </c>
    </row>
  </sheetData>
  <mergeCells count="1">
    <mergeCell ref="B37:C37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B3:AM48"/>
  <sheetViews>
    <sheetView workbookViewId="0" topLeftCell="A34">
      <selection activeCell="B39" sqref="B39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178</v>
      </c>
      <c r="C37" s="17"/>
      <c r="D37" s="18" t="s">
        <v>177</v>
      </c>
      <c r="E37" s="11" t="s">
        <v>180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4">
        <v>3500.0</v>
      </c>
    </row>
    <row r="41" spans="8:8">
      <c r="B41" s="3" t="s">
        <v>160</v>
      </c>
      <c r="C41" s="9">
        <v>0.1</v>
      </c>
      <c r="D41" s="4">
        <v>3150.0</v>
      </c>
    </row>
    <row r="42" spans="8:8">
      <c r="B42" s="3" t="s">
        <v>161</v>
      </c>
      <c r="C42" s="9">
        <v>0.25</v>
      </c>
      <c r="D42" s="4">
        <v>2625.0</v>
      </c>
    </row>
    <row r="43" spans="8:8">
      <c r="B43" s="3" t="s">
        <v>162</v>
      </c>
      <c r="C43" s="9">
        <v>0.4</v>
      </c>
      <c r="D43" s="4">
        <v>2100.0</v>
      </c>
    </row>
    <row r="44" spans="8:8">
      <c r="B44" s="3" t="s">
        <v>163</v>
      </c>
      <c r="C44" s="9">
        <v>0.5</v>
      </c>
      <c r="D44" s="4">
        <v>1750.0</v>
      </c>
    </row>
    <row r="45" spans="8:8">
      <c r="B45" s="3" t="s">
        <v>164</v>
      </c>
      <c r="C45" s="9">
        <v>0.6</v>
      </c>
      <c r="D45" s="4">
        <v>1400.0</v>
      </c>
    </row>
    <row r="48" spans="8:8">
      <c r="B48" s="26" t="s">
        <v>176</v>
      </c>
    </row>
  </sheetData>
  <mergeCells count="1">
    <mergeCell ref="B37:C37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B3:AM48"/>
  <sheetViews>
    <sheetView workbookViewId="0" topLeftCell="A31">
      <selection activeCell="H56" sqref="H56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178</v>
      </c>
      <c r="C37" s="17"/>
      <c r="D37" s="18" t="s">
        <v>187</v>
      </c>
      <c r="E37" s="11" t="s">
        <v>186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4">
        <v>5000.0</v>
      </c>
    </row>
    <row r="41" spans="8:8">
      <c r="B41" s="3" t="s">
        <v>160</v>
      </c>
      <c r="C41" s="9">
        <v>0.1</v>
      </c>
      <c r="D41" s="4">
        <v>4500.0</v>
      </c>
    </row>
    <row r="42" spans="8:8">
      <c r="B42" s="3" t="s">
        <v>161</v>
      </c>
      <c r="C42" s="9">
        <v>0.25</v>
      </c>
      <c r="D42" s="4">
        <v>3750.0</v>
      </c>
    </row>
    <row r="43" spans="8:8">
      <c r="B43" s="3" t="s">
        <v>162</v>
      </c>
      <c r="C43" s="9">
        <v>0.4</v>
      </c>
      <c r="D43" s="4">
        <v>3000.0</v>
      </c>
    </row>
    <row r="44" spans="8:8">
      <c r="B44" s="3" t="s">
        <v>163</v>
      </c>
      <c r="C44" s="9">
        <v>0.5</v>
      </c>
      <c r="D44" s="4">
        <v>2500.0</v>
      </c>
    </row>
    <row r="45" spans="8:8">
      <c r="B45" s="3" t="s">
        <v>164</v>
      </c>
      <c r="C45" s="9">
        <v>0.6</v>
      </c>
      <c r="D45" s="4">
        <v>2000.0</v>
      </c>
    </row>
    <row r="48" spans="8:8">
      <c r="B48" s="26" t="s">
        <v>176</v>
      </c>
    </row>
  </sheetData>
  <mergeCells count="1">
    <mergeCell ref="B37:C37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C00000"/>
  </sheetPr>
  <dimension ref="B3:AM48"/>
  <sheetViews>
    <sheetView workbookViewId="0" topLeftCell="A34">
      <selection activeCell="B40" sqref="B40:E46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181</v>
      </c>
      <c r="C37" s="17"/>
      <c r="D37" s="18" t="s">
        <v>182</v>
      </c>
      <c r="E37" s="11" t="s">
        <v>183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27">
        <v>2500.0</v>
      </c>
      <c r="E40" s="16">
        <v>2500.0</v>
      </c>
    </row>
    <row r="41" spans="8:8">
      <c r="B41" s="3" t="s">
        <v>160</v>
      </c>
      <c r="C41" s="9">
        <v>0.1</v>
      </c>
      <c r="D41" s="27">
        <v>2250.0</v>
      </c>
      <c r="E41" s="16">
        <v>2000.0</v>
      </c>
    </row>
    <row r="42" spans="8:8">
      <c r="B42" s="3" t="s">
        <v>161</v>
      </c>
      <c r="C42" s="9">
        <v>0.25</v>
      </c>
      <c r="D42" s="27">
        <v>1875.0</v>
      </c>
      <c r="E42" s="16">
        <v>1800.0</v>
      </c>
    </row>
    <row r="43" spans="8:8">
      <c r="B43" s="3" t="s">
        <v>162</v>
      </c>
      <c r="C43" s="9">
        <v>0.4</v>
      </c>
      <c r="D43" s="27">
        <v>1500.0</v>
      </c>
      <c r="E43" s="16">
        <v>1500.0</v>
      </c>
    </row>
    <row r="44" spans="8:8">
      <c r="B44" s="3" t="s">
        <v>163</v>
      </c>
      <c r="C44" s="9">
        <v>0.5</v>
      </c>
      <c r="D44" s="27">
        <v>1250.0</v>
      </c>
      <c r="E44" s="16">
        <v>1200.0</v>
      </c>
    </row>
    <row r="45" spans="8:8">
      <c r="B45" s="3" t="s">
        <v>164</v>
      </c>
      <c r="C45" s="9">
        <v>0.6</v>
      </c>
      <c r="D45" s="27">
        <v>1000.0</v>
      </c>
      <c r="E45" s="16">
        <v>1000.0</v>
      </c>
    </row>
    <row r="46" spans="8:8">
      <c r="B46" s="21" t="s">
        <v>462</v>
      </c>
      <c r="C46" s="24">
        <v>0.67</v>
      </c>
      <c r="D46" s="22">
        <v>833.0</v>
      </c>
      <c r="E46" s="16">
        <v>800.0</v>
      </c>
    </row>
    <row r="48" spans="8:8">
      <c r="B48" s="26" t="s">
        <v>185</v>
      </c>
    </row>
  </sheetData>
  <mergeCells count="1">
    <mergeCell ref="B37:C37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B3:AQ58"/>
  <sheetViews>
    <sheetView workbookViewId="0" topLeftCell="A31">
      <selection activeCell="F52" sqref="F52:I58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190</v>
      </c>
      <c r="C37" s="17"/>
      <c r="D37" s="18" t="s">
        <v>187</v>
      </c>
      <c r="E37" s="11" t="s">
        <v>189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4">
        <v>2000.0</v>
      </c>
    </row>
    <row r="41" spans="8:8">
      <c r="B41" s="3" t="s">
        <v>160</v>
      </c>
      <c r="C41" s="9">
        <v>0.1</v>
      </c>
      <c r="D41" s="4">
        <v>1800.0</v>
      </c>
    </row>
    <row r="42" spans="8:8">
      <c r="B42" s="3" t="s">
        <v>161</v>
      </c>
      <c r="C42" s="9">
        <v>0.25</v>
      </c>
      <c r="D42" s="4">
        <v>1500.0</v>
      </c>
    </row>
    <row r="43" spans="8:8">
      <c r="B43" s="3" t="s">
        <v>192</v>
      </c>
      <c r="C43" s="9">
        <v>0.4</v>
      </c>
      <c r="D43" s="4">
        <v>1200.0</v>
      </c>
    </row>
    <row r="46" spans="8:8">
      <c r="B46" s="26" t="s">
        <v>176</v>
      </c>
    </row>
    <row r="52" spans="8:8">
      <c r="F52" s="3"/>
      <c r="G52" s="9"/>
      <c r="H52" s="27"/>
      <c r="I52" s="16"/>
    </row>
    <row r="53" spans="8:8">
      <c r="F53" s="3"/>
      <c r="G53" s="9"/>
      <c r="H53" s="27"/>
      <c r="I53" s="16"/>
    </row>
    <row r="54" spans="8:8">
      <c r="F54" s="3"/>
      <c r="G54" s="9"/>
      <c r="H54" s="27"/>
      <c r="I54" s="16"/>
    </row>
    <row r="55" spans="8:8">
      <c r="F55" s="3"/>
      <c r="G55" s="9"/>
      <c r="H55" s="27"/>
      <c r="I55" s="16"/>
    </row>
    <row r="56" spans="8:8">
      <c r="F56" s="3"/>
      <c r="G56" s="9"/>
      <c r="H56" s="27"/>
      <c r="I56" s="16"/>
    </row>
    <row r="57" spans="8:8">
      <c r="F57" s="3"/>
      <c r="G57" s="9"/>
      <c r="H57" s="27"/>
      <c r="I57" s="16"/>
    </row>
    <row r="58" spans="8:8">
      <c r="F58" s="21"/>
      <c r="G58" s="24"/>
      <c r="H58" s="22"/>
      <c r="I58" s="16"/>
    </row>
  </sheetData>
  <mergeCells count="1">
    <mergeCell ref="B37:C37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FFC000"/>
  </sheetPr>
  <dimension ref="B3:AQ56"/>
  <sheetViews>
    <sheetView workbookViewId="0" topLeftCell="A28">
      <selection activeCell="I70" sqref="I70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191</v>
      </c>
      <c r="C37" s="17"/>
      <c r="D37" s="18" t="s">
        <v>464</v>
      </c>
      <c r="E37" s="11"/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27">
        <v>1000.0</v>
      </c>
      <c r="E40" s="16">
        <v>1500.0</v>
      </c>
    </row>
    <row r="41" spans="8:8">
      <c r="B41" s="3" t="s">
        <v>160</v>
      </c>
      <c r="C41" s="9">
        <v>0.1</v>
      </c>
      <c r="D41" s="22">
        <v>900.0</v>
      </c>
      <c r="E41" s="16">
        <v>1000.0</v>
      </c>
    </row>
    <row r="42" spans="8:8">
      <c r="B42" s="3" t="s">
        <v>161</v>
      </c>
      <c r="C42" s="9">
        <v>0.25</v>
      </c>
      <c r="D42" s="22">
        <v>750.0</v>
      </c>
      <c r="E42" s="16">
        <v>750.0</v>
      </c>
    </row>
    <row r="43" spans="8:8">
      <c r="B43" s="3" t="s">
        <v>162</v>
      </c>
      <c r="C43" s="9">
        <v>0.4</v>
      </c>
      <c r="D43" s="22">
        <v>600.0</v>
      </c>
      <c r="E43" s="16">
        <v>650.0</v>
      </c>
    </row>
    <row r="44" spans="8:8">
      <c r="B44" s="28" t="s">
        <v>163</v>
      </c>
      <c r="C44" s="29">
        <v>0.5</v>
      </c>
      <c r="D44" s="30">
        <v>500.0</v>
      </c>
      <c r="E44" s="31">
        <v>550.0</v>
      </c>
    </row>
    <row r="45" spans="8:8">
      <c r="B45" s="28" t="s">
        <v>164</v>
      </c>
      <c r="C45" s="29">
        <v>0.6</v>
      </c>
      <c r="D45" s="30">
        <v>400.0</v>
      </c>
      <c r="E45" s="31">
        <v>450.0</v>
      </c>
    </row>
    <row r="46" spans="8:8">
      <c r="B46" s="32" t="s">
        <v>462</v>
      </c>
      <c r="C46" s="33">
        <v>0.67</v>
      </c>
      <c r="D46" s="30">
        <v>333.0</v>
      </c>
      <c r="E46" s="31">
        <v>350.0</v>
      </c>
    </row>
    <row r="50" spans="8:8">
      <c r="F50" s="3"/>
      <c r="G50" s="9"/>
      <c r="H50" s="27"/>
      <c r="I50" s="16"/>
    </row>
    <row r="51" spans="8:8">
      <c r="F51" s="3"/>
      <c r="G51" s="9"/>
      <c r="H51" s="22"/>
      <c r="I51" s="16"/>
    </row>
    <row r="52" spans="8:8">
      <c r="F52" s="3"/>
      <c r="G52" s="9"/>
      <c r="H52" s="22"/>
      <c r="I52" s="16"/>
    </row>
    <row r="53" spans="8:8">
      <c r="B53" s="26" t="s">
        <v>463</v>
      </c>
      <c r="F53" s="3"/>
      <c r="G53" s="9"/>
      <c r="H53" s="22"/>
      <c r="I53" s="16"/>
    </row>
    <row r="54" spans="8:8">
      <c r="F54" s="3"/>
      <c r="G54" s="9"/>
      <c r="H54" s="22"/>
      <c r="I54" s="16"/>
    </row>
    <row r="55" spans="8:8">
      <c r="F55" s="3"/>
      <c r="G55" s="9"/>
      <c r="H55" s="22"/>
      <c r="I55" s="16"/>
    </row>
    <row r="56" spans="8:8">
      <c r="F56" s="21"/>
      <c r="G56" s="24"/>
      <c r="H56" s="22"/>
      <c r="I56" s="16"/>
    </row>
  </sheetData>
  <mergeCells count="1">
    <mergeCell ref="B37:C37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tabColor rgb="FFFFC000"/>
  </sheetPr>
  <dimension ref="B3:AM47"/>
  <sheetViews>
    <sheetView workbookViewId="0" topLeftCell="A31">
      <selection activeCell="E75" sqref="E75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199</v>
      </c>
      <c r="C37" s="17"/>
      <c r="D37" s="18" t="s">
        <v>169</v>
      </c>
      <c r="E37" s="11"/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27">
        <v>4500.0</v>
      </c>
      <c r="E40" s="16">
        <v>4500.0</v>
      </c>
    </row>
    <row r="41" spans="8:8">
      <c r="B41" s="3" t="s">
        <v>193</v>
      </c>
      <c r="C41" s="9">
        <v>0.1</v>
      </c>
      <c r="D41" s="27">
        <v>4050.0</v>
      </c>
      <c r="E41" s="16">
        <v>4000.0</v>
      </c>
    </row>
    <row r="42" spans="8:8">
      <c r="B42" s="3" t="s">
        <v>194</v>
      </c>
      <c r="C42" s="9">
        <v>0.15</v>
      </c>
      <c r="D42" s="27">
        <v>3825.0</v>
      </c>
      <c r="E42" s="16">
        <v>3800.0</v>
      </c>
    </row>
    <row r="43" spans="8:8">
      <c r="B43" s="3" t="s">
        <v>195</v>
      </c>
      <c r="C43" s="9">
        <v>0.2</v>
      </c>
      <c r="D43" s="27">
        <v>3600.0</v>
      </c>
      <c r="E43" s="16">
        <v>3600.0</v>
      </c>
    </row>
    <row r="44" spans="8:8">
      <c r="B44" s="3" t="s">
        <v>196</v>
      </c>
      <c r="C44" s="9">
        <v>0.25</v>
      </c>
      <c r="D44" s="27">
        <v>3375.0</v>
      </c>
      <c r="E44" s="16">
        <v>3400.0</v>
      </c>
    </row>
    <row r="45" spans="8:8">
      <c r="B45" s="3" t="s">
        <v>197</v>
      </c>
      <c r="C45" s="9">
        <v>0.3</v>
      </c>
      <c r="D45" s="27">
        <v>3150.0</v>
      </c>
      <c r="E45" s="16">
        <v>3200.0</v>
      </c>
    </row>
    <row r="46" spans="8:8">
      <c r="B46" s="3"/>
      <c r="C46" s="9"/>
      <c r="D46" s="4"/>
    </row>
    <row r="47" spans="8:8">
      <c r="B47" s="26" t="s">
        <v>198</v>
      </c>
    </row>
  </sheetData>
  <mergeCells count="1">
    <mergeCell ref="B37:C37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tabColor rgb="FFFFC000"/>
  </sheetPr>
  <dimension ref="B3:AM47"/>
  <sheetViews>
    <sheetView workbookViewId="0" topLeftCell="A31">
      <selection activeCell="F75" sqref="F75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17" t="s">
        <v>201</v>
      </c>
      <c r="C37" s="17"/>
      <c r="D37" s="18" t="s">
        <v>169</v>
      </c>
      <c r="E37" s="11" t="s">
        <v>200</v>
      </c>
    </row>
    <row r="39" spans="8:8" ht="45.0" customHeight="1">
      <c r="B39" s="2" t="s">
        <v>156</v>
      </c>
      <c r="C39" s="2" t="s">
        <v>157</v>
      </c>
      <c r="D39" s="2" t="s">
        <v>171</v>
      </c>
    </row>
    <row r="40" spans="8:8">
      <c r="B40" s="3" t="s">
        <v>159</v>
      </c>
      <c r="C40" s="9">
        <v>0.0</v>
      </c>
      <c r="D40" s="27">
        <v>12000.0</v>
      </c>
      <c r="E40" s="16">
        <v>12000.0</v>
      </c>
    </row>
    <row r="41" spans="8:8">
      <c r="B41" s="3" t="s">
        <v>193</v>
      </c>
      <c r="C41" s="9">
        <v>0.1</v>
      </c>
      <c r="D41" s="27">
        <v>10800.0</v>
      </c>
      <c r="E41" s="16">
        <v>10000.0</v>
      </c>
    </row>
    <row r="42" spans="8:8">
      <c r="B42" s="3" t="s">
        <v>194</v>
      </c>
      <c r="C42" s="9">
        <v>0.15</v>
      </c>
      <c r="D42" s="27">
        <v>10200.0</v>
      </c>
      <c r="E42" s="16">
        <v>9500.0</v>
      </c>
    </row>
    <row r="43" spans="8:8">
      <c r="B43" s="3" t="s">
        <v>195</v>
      </c>
      <c r="C43" s="9">
        <v>0.2</v>
      </c>
      <c r="D43" s="27">
        <v>9600.0</v>
      </c>
      <c r="E43" s="16">
        <v>9000.0</v>
      </c>
    </row>
    <row r="44" spans="8:8">
      <c r="B44" s="3" t="s">
        <v>196</v>
      </c>
      <c r="C44" s="9">
        <v>0.25</v>
      </c>
      <c r="D44" s="27">
        <v>9000.0</v>
      </c>
      <c r="E44" s="16">
        <v>8500.0</v>
      </c>
    </row>
    <row r="45" spans="8:8">
      <c r="B45" s="3" t="s">
        <v>197</v>
      </c>
      <c r="C45" s="9">
        <v>0.3</v>
      </c>
      <c r="D45" s="27">
        <v>8400.0</v>
      </c>
      <c r="E45" s="16">
        <v>8000.0</v>
      </c>
    </row>
    <row r="46" spans="8:8">
      <c r="B46" s="3"/>
      <c r="C46" s="9"/>
      <c r="D46" s="4"/>
    </row>
    <row r="47" spans="8:8">
      <c r="B47" s="34" t="s">
        <v>465</v>
      </c>
      <c r="C47" s="35"/>
      <c r="D47" s="35"/>
      <c r="E47" s="35"/>
    </row>
  </sheetData>
  <mergeCells count="1">
    <mergeCell ref="B37:C37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sheetPr>
    <tabColor rgb="FFFFC000"/>
  </sheetPr>
  <dimension ref="B3:AM47"/>
  <sheetViews>
    <sheetView workbookViewId="0" topLeftCell="A34">
      <selection activeCell="H78" sqref="H78"/>
    </sheetView>
  </sheetViews>
  <sheetFormatPr defaultRowHeight="15.0" defaultColWidth="10"/>
  <cols>
    <col min="2" max="2" customWidth="1" width="16.425781" style="0"/>
    <col min="4" max="4" customWidth="1" bestFit="1" width="16.140625" style="0"/>
  </cols>
  <sheetData>
    <row r="37" spans="8:8" ht="15.75">
      <c r="B37" s="36" t="s">
        <v>466</v>
      </c>
      <c r="C37" s="36"/>
      <c r="D37" s="37" t="s">
        <v>169</v>
      </c>
      <c r="E37" s="11"/>
    </row>
    <row r="39" spans="8:8" ht="45.0" customHeight="1">
      <c r="B39" s="2" t="s">
        <v>156</v>
      </c>
      <c r="C39" s="2" t="s">
        <v>157</v>
      </c>
      <c r="D39" s="2" t="s">
        <v>202</v>
      </c>
    </row>
    <row r="40" spans="8:8">
      <c r="B40" s="3" t="s">
        <v>159</v>
      </c>
      <c r="C40" s="9">
        <v>0.0</v>
      </c>
      <c r="D40" s="27">
        <v>1500.0</v>
      </c>
      <c r="E40" s="16">
        <v>1500.0</v>
      </c>
    </row>
    <row r="41" spans="8:8">
      <c r="B41" s="3" t="s">
        <v>193</v>
      </c>
      <c r="C41" s="9">
        <v>0.1</v>
      </c>
      <c r="D41" s="27">
        <v>1350.0</v>
      </c>
      <c r="E41" s="16">
        <v>1300.0</v>
      </c>
    </row>
    <row r="42" spans="8:8">
      <c r="B42" s="3" t="s">
        <v>194</v>
      </c>
      <c r="C42" s="9">
        <v>0.15</v>
      </c>
      <c r="D42" s="27">
        <v>1275.0</v>
      </c>
      <c r="E42" s="16">
        <v>1200.0</v>
      </c>
    </row>
    <row r="43" spans="8:8">
      <c r="B43" s="3" t="s">
        <v>195</v>
      </c>
      <c r="C43" s="9">
        <v>0.2</v>
      </c>
      <c r="D43" s="27">
        <v>1200.0</v>
      </c>
      <c r="E43" s="16">
        <v>1000.0</v>
      </c>
    </row>
    <row r="44" spans="8:8">
      <c r="B44" s="3" t="s">
        <v>196</v>
      </c>
      <c r="C44" s="9">
        <v>0.25</v>
      </c>
      <c r="D44" s="27">
        <v>1125.0</v>
      </c>
      <c r="E44" s="16">
        <v>900.0</v>
      </c>
    </row>
    <row r="45" spans="8:8">
      <c r="B45" s="3" t="s">
        <v>197</v>
      </c>
      <c r="C45" s="9">
        <v>0.3</v>
      </c>
      <c r="D45" s="27">
        <v>1050.0</v>
      </c>
      <c r="E45" s="16">
        <v>800.0</v>
      </c>
    </row>
    <row r="46" spans="8:8">
      <c r="B46" s="3"/>
      <c r="C46" s="9"/>
      <c r="D46" s="4"/>
    </row>
    <row r="47" spans="8:8">
      <c r="B47" s="26" t="s">
        <v>203</v>
      </c>
    </row>
  </sheetData>
  <mergeCells count="1">
    <mergeCell ref="B37:C37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sheetPr>
    <tabColor rgb="FFC00000"/>
  </sheetPr>
  <dimension ref="B1:AW74"/>
  <sheetViews>
    <sheetView workbookViewId="0" topLeftCell="A49">
      <selection activeCell="M73" sqref="M73"/>
    </sheetView>
  </sheetViews>
  <sheetFormatPr defaultRowHeight="15.0" defaultColWidth="10"/>
  <cols>
    <col min="2" max="2" customWidth="1" width="16.425781" style="0"/>
    <col min="3" max="3" customWidth="1" width="19.140625" style="0"/>
    <col min="4" max="4" customWidth="1" bestFit="1" width="16.140625" style="0"/>
  </cols>
  <sheetData>
    <row r="6" spans="8:8" ht="15.75">
      <c r="B6" s="17" t="s">
        <v>215</v>
      </c>
      <c r="C6" s="17"/>
      <c r="D6" s="18" t="s">
        <v>212</v>
      </c>
      <c r="E6" s="11" t="s">
        <v>211</v>
      </c>
    </row>
    <row r="8" spans="8:8" s="38" ht="45.0" customFormat="1" customHeight="1">
      <c r="B8" s="2" t="s">
        <v>156</v>
      </c>
      <c r="C8" s="2" t="s">
        <v>157</v>
      </c>
      <c r="D8" s="2" t="s">
        <v>204</v>
      </c>
      <c r="E8" s="2" t="s">
        <v>205</v>
      </c>
      <c r="F8" s="2" t="s">
        <v>206</v>
      </c>
      <c r="G8" s="39" t="s">
        <v>470</v>
      </c>
    </row>
    <row r="9" spans="8:8">
      <c r="B9" s="3" t="s">
        <v>207</v>
      </c>
      <c r="C9" s="9">
        <v>0.0</v>
      </c>
      <c r="D9" s="40">
        <v>1700.0</v>
      </c>
      <c r="E9" s="41">
        <v>300.0</v>
      </c>
      <c r="F9" s="42">
        <v>2000.0</v>
      </c>
      <c r="G9" s="16">
        <v>2000.0</v>
      </c>
    </row>
    <row r="10" spans="8:8">
      <c r="B10" s="3" t="s">
        <v>208</v>
      </c>
      <c r="C10" s="9">
        <v>0.1</v>
      </c>
      <c r="D10" s="40">
        <v>1530.0</v>
      </c>
      <c r="E10" s="41">
        <v>270.0</v>
      </c>
      <c r="F10" s="42">
        <v>1800.0</v>
      </c>
      <c r="G10" s="16">
        <v>1800.0</v>
      </c>
    </row>
    <row r="11" spans="8:8">
      <c r="B11" s="3" t="s">
        <v>209</v>
      </c>
      <c r="C11" s="9">
        <v>0.25</v>
      </c>
      <c r="D11" s="40">
        <v>1276.0</v>
      </c>
      <c r="E11" s="41">
        <v>225.0</v>
      </c>
      <c r="F11" s="42">
        <v>1501.0</v>
      </c>
      <c r="G11" s="16">
        <v>1400.0</v>
      </c>
    </row>
    <row r="12" spans="8:8">
      <c r="B12" s="3" t="s">
        <v>210</v>
      </c>
      <c r="C12" s="9">
        <v>0.4</v>
      </c>
      <c r="D12" s="40">
        <v>1020.0</v>
      </c>
      <c r="E12" s="41">
        <v>180.0</v>
      </c>
      <c r="F12" s="42">
        <v>1200.0</v>
      </c>
      <c r="G12" s="16">
        <v>1200.0</v>
      </c>
    </row>
    <row r="13" spans="8:8">
      <c r="B13" s="3" t="s">
        <v>163</v>
      </c>
      <c r="C13" s="9">
        <v>0.5</v>
      </c>
      <c r="D13" s="41">
        <v>850.0</v>
      </c>
      <c r="E13" s="41">
        <v>150.0</v>
      </c>
      <c r="F13" s="42">
        <v>1000.0</v>
      </c>
      <c r="G13" s="16">
        <v>1000.0</v>
      </c>
    </row>
    <row r="14" spans="8:8">
      <c r="B14" s="3" t="s">
        <v>164</v>
      </c>
      <c r="C14" s="9">
        <v>0.6</v>
      </c>
      <c r="D14" s="41">
        <v>680.0</v>
      </c>
      <c r="E14" s="41">
        <v>120.0</v>
      </c>
      <c r="F14" s="25">
        <v>800.0</v>
      </c>
      <c r="G14" s="16">
        <v>800.0</v>
      </c>
    </row>
    <row r="15" spans="8:8">
      <c r="B15" s="21" t="s">
        <v>462</v>
      </c>
      <c r="C15" s="24">
        <v>0.67</v>
      </c>
      <c r="D15" s="25"/>
      <c r="E15" s="43"/>
      <c r="F15" s="42">
        <v>700.0</v>
      </c>
      <c r="G15" s="16">
        <v>700.0</v>
      </c>
    </row>
    <row r="16" spans="8:8">
      <c r="B16" s="26" t="s">
        <v>213</v>
      </c>
    </row>
    <row r="17" spans="8:8">
      <c r="B17" s="26" t="s">
        <v>214</v>
      </c>
    </row>
    <row r="18" spans="8:8">
      <c r="L18" s="3"/>
      <c r="M18" s="9"/>
      <c r="N18" s="22"/>
      <c r="O18" s="16"/>
    </row>
    <row r="19" spans="8:8">
      <c r="L19" s="3"/>
      <c r="M19" s="9"/>
      <c r="N19" s="22"/>
      <c r="O19" s="16"/>
    </row>
    <row r="20" spans="8:8" ht="15.75">
      <c r="B20" s="44" t="s">
        <v>246</v>
      </c>
      <c r="C20" s="44"/>
      <c r="D20" s="11"/>
      <c r="E20" s="11"/>
      <c r="L20" s="3"/>
      <c r="M20" s="9"/>
      <c r="N20" s="22"/>
      <c r="O20" s="16"/>
    </row>
    <row r="21" spans="8:8" ht="45.0">
      <c r="B21" s="6" t="s">
        <v>217</v>
      </c>
      <c r="C21" s="6" t="s">
        <v>218</v>
      </c>
      <c r="D21" s="6" t="s">
        <v>467</v>
      </c>
      <c r="E21" s="2" t="s">
        <v>247</v>
      </c>
      <c r="F21" s="2"/>
      <c r="G21" s="2"/>
      <c r="L21" s="3"/>
      <c r="M21" s="9"/>
      <c r="N21" s="22"/>
      <c r="O21" s="16"/>
    </row>
    <row r="22" spans="8:8">
      <c r="B22" s="3" t="s">
        <v>221</v>
      </c>
      <c r="C22" s="3" t="s">
        <v>216</v>
      </c>
      <c r="D22" s="3">
        <v>250.0</v>
      </c>
      <c r="E22" s="3">
        <v>450.0</v>
      </c>
      <c r="F22" s="3"/>
      <c r="L22" s="3"/>
      <c r="M22" s="9"/>
      <c r="N22" s="22"/>
      <c r="O22" s="16"/>
    </row>
    <row r="23" spans="8:8">
      <c r="B23" s="3" t="s">
        <v>222</v>
      </c>
      <c r="C23" s="3" t="s">
        <v>208</v>
      </c>
      <c r="D23" s="3">
        <v>200.0</v>
      </c>
      <c r="E23" s="3">
        <v>350.0</v>
      </c>
      <c r="F23" s="3"/>
      <c r="L23" s="3"/>
      <c r="M23" s="9"/>
      <c r="N23" s="22"/>
      <c r="O23" s="16"/>
    </row>
    <row r="24" spans="8:8">
      <c r="B24" s="3" t="s">
        <v>223</v>
      </c>
      <c r="C24" s="3" t="s">
        <v>209</v>
      </c>
      <c r="D24" s="3">
        <v>175.0</v>
      </c>
      <c r="E24" s="3">
        <v>300.0</v>
      </c>
      <c r="F24" s="3"/>
      <c r="L24" s="21"/>
      <c r="M24" s="24"/>
      <c r="N24" s="25"/>
      <c r="O24" s="16"/>
    </row>
    <row r="25" spans="8:8">
      <c r="B25" s="3" t="s">
        <v>224</v>
      </c>
      <c r="C25" s="3" t="s">
        <v>210</v>
      </c>
      <c r="D25" s="3">
        <v>125.0</v>
      </c>
      <c r="E25" s="3">
        <v>225.0</v>
      </c>
      <c r="F25" s="3"/>
    </row>
    <row r="26" spans="8:8">
      <c r="B26" s="3" t="s">
        <v>225</v>
      </c>
      <c r="C26" s="3" t="s">
        <v>163</v>
      </c>
      <c r="D26" s="3">
        <v>100.0</v>
      </c>
      <c r="E26" s="3">
        <v>175.0</v>
      </c>
      <c r="F26" s="3"/>
    </row>
    <row r="27" spans="8:8">
      <c r="B27" s="5"/>
      <c r="C27" s="5"/>
      <c r="D27" s="5"/>
      <c r="E27" s="5"/>
    </row>
    <row r="31" spans="8:8" ht="15.75">
      <c r="B31" s="45" t="s">
        <v>220</v>
      </c>
      <c r="C31" s="45"/>
      <c r="D31" s="45"/>
      <c r="E31" s="45"/>
    </row>
    <row r="32" spans="8:8" ht="45.0">
      <c r="B32" s="6" t="s">
        <v>219</v>
      </c>
      <c r="C32" s="6" t="s">
        <v>218</v>
      </c>
      <c r="D32" s="6" t="s">
        <v>468</v>
      </c>
      <c r="E32" s="2" t="s">
        <v>247</v>
      </c>
      <c r="F32" s="2"/>
      <c r="G32" s="2"/>
    </row>
    <row r="33" spans="8:8">
      <c r="B33" s="3" t="s">
        <v>226</v>
      </c>
      <c r="C33" s="3" t="s">
        <v>216</v>
      </c>
      <c r="D33" s="3">
        <v>300.0</v>
      </c>
      <c r="E33" s="3">
        <v>500.0</v>
      </c>
    </row>
    <row r="34" spans="8:8">
      <c r="B34" s="3" t="s">
        <v>227</v>
      </c>
      <c r="C34" s="3" t="s">
        <v>208</v>
      </c>
      <c r="D34" s="3">
        <v>250.0</v>
      </c>
      <c r="E34" s="3">
        <v>425.0</v>
      </c>
    </row>
    <row r="35" spans="8:8">
      <c r="B35" s="3" t="s">
        <v>228</v>
      </c>
      <c r="C35" s="3" t="s">
        <v>209</v>
      </c>
      <c r="D35" s="3">
        <v>225.0</v>
      </c>
      <c r="E35" s="3">
        <v>375.0</v>
      </c>
    </row>
    <row r="36" spans="8:8">
      <c r="B36" s="3" t="s">
        <v>229</v>
      </c>
      <c r="C36" s="3" t="s">
        <v>210</v>
      </c>
      <c r="D36" s="3">
        <v>175.0</v>
      </c>
      <c r="E36" s="3">
        <v>300.0</v>
      </c>
    </row>
    <row r="37" spans="8:8">
      <c r="B37" s="3" t="s">
        <v>235</v>
      </c>
      <c r="C37" s="3" t="s">
        <v>163</v>
      </c>
      <c r="D37" s="3">
        <v>150.0</v>
      </c>
      <c r="E37" s="3">
        <v>250.0</v>
      </c>
    </row>
    <row r="38" spans="8:8">
      <c r="E38" s="5"/>
    </row>
    <row r="41" spans="8:8" ht="15.75">
      <c r="B41" s="45" t="s">
        <v>244</v>
      </c>
      <c r="C41" s="45"/>
      <c r="D41" s="45"/>
      <c r="E41" s="45"/>
    </row>
    <row r="42" spans="8:8" ht="45.0">
      <c r="B42" s="2" t="s">
        <v>245</v>
      </c>
      <c r="C42" s="2" t="s">
        <v>218</v>
      </c>
      <c r="D42" s="6" t="s">
        <v>468</v>
      </c>
      <c r="E42" s="2" t="s">
        <v>247</v>
      </c>
      <c r="F42" s="2"/>
      <c r="G42" s="2"/>
    </row>
    <row r="43" spans="8:8">
      <c r="B43" s="3" t="s">
        <v>230</v>
      </c>
      <c r="C43" s="3" t="s">
        <v>216</v>
      </c>
      <c r="D43" s="3">
        <v>400.0</v>
      </c>
      <c r="E43">
        <v>700.0</v>
      </c>
    </row>
    <row r="44" spans="8:8">
      <c r="B44" s="3" t="s">
        <v>231</v>
      </c>
      <c r="C44" s="3" t="s">
        <v>208</v>
      </c>
      <c r="D44" s="3">
        <v>350.0</v>
      </c>
      <c r="E44">
        <v>600.0</v>
      </c>
    </row>
    <row r="45" spans="8:8">
      <c r="B45" s="3" t="s">
        <v>232</v>
      </c>
      <c r="C45" s="3" t="s">
        <v>209</v>
      </c>
      <c r="D45" s="3">
        <v>300.0</v>
      </c>
      <c r="E45">
        <v>525.0</v>
      </c>
    </row>
    <row r="46" spans="8:8">
      <c r="B46" s="3" t="s">
        <v>233</v>
      </c>
      <c r="C46" s="3" t="s">
        <v>210</v>
      </c>
      <c r="D46" s="3">
        <v>225.0</v>
      </c>
      <c r="E46">
        <v>400.0</v>
      </c>
    </row>
    <row r="47" spans="8:8">
      <c r="B47" s="3" t="s">
        <v>243</v>
      </c>
      <c r="C47" s="3" t="s">
        <v>163</v>
      </c>
      <c r="D47" s="3">
        <v>200.0</v>
      </c>
      <c r="E47">
        <v>350.0</v>
      </c>
    </row>
    <row r="51" spans="8:8" ht="15.75">
      <c r="B51" s="45" t="s">
        <v>236</v>
      </c>
      <c r="C51" s="45"/>
      <c r="D51" s="45"/>
      <c r="E51" s="45"/>
    </row>
    <row r="52" spans="8:8" ht="45.0">
      <c r="B52" s="2" t="s">
        <v>234</v>
      </c>
      <c r="C52" s="2" t="s">
        <v>218</v>
      </c>
      <c r="D52" s="6" t="s">
        <v>468</v>
      </c>
      <c r="E52" s="2" t="s">
        <v>247</v>
      </c>
      <c r="F52" s="2"/>
      <c r="G52" s="2"/>
    </row>
    <row r="53" spans="8:8">
      <c r="B53" s="3" t="s">
        <v>237</v>
      </c>
      <c r="C53" s="3" t="s">
        <v>216</v>
      </c>
      <c r="D53" s="3">
        <v>600.0</v>
      </c>
      <c r="E53">
        <v>1000.0</v>
      </c>
    </row>
    <row r="54" spans="8:8">
      <c r="B54" s="3" t="s">
        <v>238</v>
      </c>
      <c r="C54" s="3" t="s">
        <v>208</v>
      </c>
      <c r="D54" s="3">
        <v>525.0</v>
      </c>
      <c r="E54">
        <v>875.0</v>
      </c>
    </row>
    <row r="55" spans="8:8">
      <c r="B55" s="3" t="s">
        <v>239</v>
      </c>
      <c r="C55" s="3" t="s">
        <v>209</v>
      </c>
      <c r="D55" s="3">
        <v>425.0</v>
      </c>
      <c r="E55">
        <v>700.0</v>
      </c>
    </row>
    <row r="56" spans="8:8">
      <c r="B56" s="3" t="s">
        <v>240</v>
      </c>
      <c r="C56" s="3" t="s">
        <v>210</v>
      </c>
      <c r="D56" s="3">
        <v>350.0</v>
      </c>
      <c r="E56">
        <v>575.0</v>
      </c>
    </row>
    <row r="57" spans="8:8">
      <c r="B57" s="3" t="s">
        <v>164</v>
      </c>
      <c r="C57" s="3" t="s">
        <v>163</v>
      </c>
      <c r="D57" s="3">
        <v>275.0</v>
      </c>
      <c r="E57">
        <v>450.0</v>
      </c>
    </row>
    <row r="61" spans="8:8" ht="15.75">
      <c r="B61" s="45" t="s">
        <v>242</v>
      </c>
      <c r="C61" s="45"/>
      <c r="D61" s="45"/>
      <c r="E61" s="45"/>
    </row>
    <row r="62" spans="8:8" ht="45.0">
      <c r="B62" s="2" t="s">
        <v>241</v>
      </c>
      <c r="C62" s="2" t="s">
        <v>218</v>
      </c>
      <c r="D62" s="6" t="s">
        <v>468</v>
      </c>
      <c r="E62" s="2" t="s">
        <v>247</v>
      </c>
      <c r="F62" s="2" t="s">
        <v>146</v>
      </c>
      <c r="G62" s="2" t="s">
        <v>469</v>
      </c>
    </row>
    <row r="63" spans="8:8">
      <c r="B63" s="3" t="s">
        <v>216</v>
      </c>
      <c r="C63" s="3" t="s">
        <v>216</v>
      </c>
      <c r="D63" s="40">
        <v>1150.0</v>
      </c>
      <c r="E63" s="42">
        <v>2000.0</v>
      </c>
      <c r="F63" s="16">
        <v>1200.0</v>
      </c>
      <c r="G63" s="16">
        <v>2000.0</v>
      </c>
    </row>
    <row r="64" spans="8:8">
      <c r="B64" s="3" t="s">
        <v>160</v>
      </c>
      <c r="C64" s="3" t="s">
        <v>160</v>
      </c>
      <c r="D64" s="40">
        <v>1025.0</v>
      </c>
      <c r="E64" s="42">
        <v>1800.0</v>
      </c>
      <c r="F64" s="16">
        <v>750.0</v>
      </c>
      <c r="G64" s="16">
        <v>1800.0</v>
      </c>
    </row>
    <row r="65" spans="8:8">
      <c r="B65" s="3" t="s">
        <v>161</v>
      </c>
      <c r="C65" s="3" t="s">
        <v>161</v>
      </c>
      <c r="D65" s="41">
        <v>850.0</v>
      </c>
      <c r="E65" s="42">
        <v>1501.0</v>
      </c>
      <c r="F65" s="16">
        <v>650.0</v>
      </c>
      <c r="G65" s="16">
        <v>1400.0</v>
      </c>
    </row>
    <row r="66" spans="8:8">
      <c r="B66" s="3" t="s">
        <v>162</v>
      </c>
      <c r="C66" s="3" t="s">
        <v>162</v>
      </c>
      <c r="D66" s="41">
        <v>700.0</v>
      </c>
      <c r="E66" s="42">
        <v>1200.0</v>
      </c>
      <c r="F66" s="16">
        <v>550.0</v>
      </c>
      <c r="G66" s="16">
        <v>1200.0</v>
      </c>
    </row>
    <row r="67" spans="8:8">
      <c r="B67" s="3" t="s">
        <v>163</v>
      </c>
      <c r="C67" s="3" t="s">
        <v>163</v>
      </c>
      <c r="D67" s="41">
        <v>575.0</v>
      </c>
      <c r="E67" s="42">
        <v>1000.0</v>
      </c>
      <c r="F67" s="16">
        <v>450.0</v>
      </c>
      <c r="G67" s="16">
        <v>1000.0</v>
      </c>
    </row>
    <row r="68" spans="8:8">
      <c r="B68" s="3" t="s">
        <v>164</v>
      </c>
      <c r="C68" s="3" t="s">
        <v>164</v>
      </c>
      <c r="D68" s="41">
        <v>450.0</v>
      </c>
      <c r="E68" s="25">
        <v>800.0</v>
      </c>
      <c r="F68" s="16">
        <v>350.0</v>
      </c>
      <c r="G68" s="16">
        <v>800.0</v>
      </c>
      <c r="H68" s="3"/>
      <c r="I68" s="9"/>
      <c r="J68" s="22"/>
      <c r="K68" s="16"/>
    </row>
    <row r="69" spans="8:8">
      <c r="B69" s="21" t="s">
        <v>462</v>
      </c>
      <c r="C69" s="21" t="s">
        <v>462</v>
      </c>
      <c r="F69" s="16">
        <v>300.0</v>
      </c>
      <c r="G69" s="16">
        <v>700.0</v>
      </c>
      <c r="H69" s="3"/>
      <c r="I69" s="9"/>
      <c r="J69" s="22"/>
      <c r="K69" s="16"/>
    </row>
    <row r="70" spans="8:8">
      <c r="H70" s="3"/>
      <c r="I70" s="9"/>
      <c r="J70" s="22"/>
      <c r="K70" s="16"/>
    </row>
    <row r="71" spans="8:8">
      <c r="H71" s="3"/>
      <c r="I71" s="9"/>
      <c r="J71" s="22"/>
      <c r="K71" s="16"/>
    </row>
    <row r="72" spans="8:8">
      <c r="H72" s="3"/>
      <c r="I72" s="9"/>
      <c r="J72" s="22"/>
      <c r="K72" s="16"/>
    </row>
    <row r="73" spans="8:8">
      <c r="H73" s="3"/>
      <c r="I73" s="9"/>
      <c r="J73" s="22"/>
      <c r="K73" s="16"/>
    </row>
    <row r="74" spans="8:8">
      <c r="H74" s="21"/>
      <c r="I74" s="24"/>
      <c r="J74" s="25"/>
      <c r="K74" s="16"/>
    </row>
  </sheetData>
  <mergeCells count="5">
    <mergeCell ref="B61:E61"/>
    <mergeCell ref="B41:E41"/>
    <mergeCell ref="B51:E51"/>
    <mergeCell ref="B6:C6"/>
    <mergeCell ref="B31:E31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C1:AV18"/>
  <sheetViews>
    <sheetView workbookViewId="0">
      <selection activeCell="M21" sqref="M21"/>
    </sheetView>
  </sheetViews>
  <sheetFormatPr defaultRowHeight="15.0" defaultColWidth="10"/>
  <cols>
    <col min="3" max="3" customWidth="1" width="20.425781" style="0"/>
    <col min="4" max="4" customWidth="1" width="12.425781" style="0"/>
    <col min="9" max="9" customWidth="1" width="12.855469" style="0"/>
    <col min="11" max="11" customWidth="1" width="11.855469" style="0"/>
  </cols>
  <sheetData>
    <row r="2" spans="8:8">
      <c r="C2" s="46" t="s">
        <v>146</v>
      </c>
    </row>
    <row r="3" spans="8:8" ht="45.0">
      <c r="C3" s="2" t="s">
        <v>156</v>
      </c>
      <c r="D3" s="2" t="s">
        <v>248</v>
      </c>
      <c r="E3" s="2" t="s">
        <v>249</v>
      </c>
      <c r="F3" s="2" t="s">
        <v>250</v>
      </c>
      <c r="G3" s="2" t="s">
        <v>181</v>
      </c>
      <c r="H3" s="2" t="s">
        <v>188</v>
      </c>
      <c r="I3" s="2" t="s">
        <v>254</v>
      </c>
      <c r="J3" s="2" t="s">
        <v>255</v>
      </c>
      <c r="K3" s="2" t="s">
        <v>251</v>
      </c>
      <c r="L3" s="2" t="s">
        <v>252</v>
      </c>
    </row>
    <row r="4" spans="8:8" ht="18.0" customHeight="1">
      <c r="C4" s="3" t="s">
        <v>193</v>
      </c>
      <c r="D4" s="3">
        <v>200.0</v>
      </c>
      <c r="E4" s="3">
        <v>350.0</v>
      </c>
      <c r="F4" s="3">
        <v>500.0</v>
      </c>
      <c r="G4" s="3">
        <v>300.0</v>
      </c>
      <c r="H4" s="3">
        <v>300.0</v>
      </c>
      <c r="I4" s="3">
        <v>450.0</v>
      </c>
      <c r="J4" s="3">
        <v>600.0</v>
      </c>
      <c r="K4" s="3">
        <v>500.0</v>
      </c>
      <c r="L4" s="3">
        <v>1300.0</v>
      </c>
      <c r="N4" s="4"/>
    </row>
    <row r="5" spans="8:8">
      <c r="C5" s="3" t="s">
        <v>253</v>
      </c>
      <c r="D5" s="3">
        <v>175.0</v>
      </c>
      <c r="E5" s="3">
        <v>300.0</v>
      </c>
      <c r="F5" s="3">
        <v>450.0</v>
      </c>
      <c r="G5" s="3">
        <v>250.0</v>
      </c>
      <c r="H5" s="3">
        <v>250.0</v>
      </c>
      <c r="I5" s="3">
        <v>400.0</v>
      </c>
      <c r="J5" s="3">
        <v>550.0</v>
      </c>
      <c r="K5" s="3">
        <v>450.0</v>
      </c>
      <c r="L5" s="3">
        <v>1200.0</v>
      </c>
      <c r="N5" s="4"/>
    </row>
    <row r="6" spans="8:8" ht="15.0" customHeight="1">
      <c r="C6" s="3" t="s">
        <v>161</v>
      </c>
      <c r="D6" s="3">
        <v>150.0</v>
      </c>
      <c r="E6" s="3">
        <v>275.0</v>
      </c>
      <c r="F6" s="3">
        <v>400.0</v>
      </c>
      <c r="G6" s="3">
        <v>225.0</v>
      </c>
      <c r="H6" s="3">
        <v>225.0</v>
      </c>
      <c r="I6" s="3">
        <v>350.0</v>
      </c>
      <c r="J6" s="3">
        <v>500.0</v>
      </c>
      <c r="K6" s="3">
        <v>400.0</v>
      </c>
      <c r="L6" s="3">
        <v>1100.0</v>
      </c>
      <c r="N6" s="4"/>
    </row>
    <row r="7" spans="8:8">
      <c r="C7" s="3" t="s">
        <v>162</v>
      </c>
      <c r="D7" s="3">
        <v>125.0</v>
      </c>
      <c r="E7" s="3">
        <v>260.0</v>
      </c>
      <c r="F7" s="3">
        <v>350.0</v>
      </c>
      <c r="G7" s="3">
        <v>200.0</v>
      </c>
      <c r="H7" s="3">
        <v>200.0</v>
      </c>
      <c r="I7" s="3">
        <v>300.0</v>
      </c>
      <c r="J7" s="3">
        <v>450.0</v>
      </c>
      <c r="K7" s="3">
        <v>350.0</v>
      </c>
      <c r="L7" s="3">
        <v>1000.0</v>
      </c>
      <c r="N7" s="4"/>
    </row>
    <row r="8" spans="8:8">
      <c r="C8" s="3" t="s">
        <v>259</v>
      </c>
      <c r="D8" s="3">
        <v>100.0</v>
      </c>
      <c r="E8" s="3">
        <v>250.0</v>
      </c>
      <c r="F8" s="3">
        <v>300.0</v>
      </c>
      <c r="G8" s="3">
        <v>150.0</v>
      </c>
      <c r="H8" s="3">
        <v>150.0</v>
      </c>
      <c r="I8" s="3">
        <v>250.0</v>
      </c>
      <c r="J8" s="3">
        <v>400.0</v>
      </c>
      <c r="K8" s="3">
        <v>300.0</v>
      </c>
      <c r="L8" s="3">
        <v>800.0</v>
      </c>
      <c r="N8" s="4"/>
    </row>
    <row r="9" spans="8:8">
      <c r="C9" s="3"/>
      <c r="D9" s="3"/>
      <c r="E9" s="3"/>
      <c r="F9" s="3"/>
      <c r="G9" s="3"/>
      <c r="H9" s="3"/>
      <c r="K9" s="3"/>
      <c r="L9" s="3"/>
      <c r="N9" s="4"/>
    </row>
    <row r="12" spans="8:8">
      <c r="C12" s="46" t="s">
        <v>147</v>
      </c>
    </row>
    <row r="13" spans="8:8" ht="45.0">
      <c r="C13" s="2" t="s">
        <v>156</v>
      </c>
      <c r="D13" s="2" t="s">
        <v>248</v>
      </c>
      <c r="E13" s="2" t="s">
        <v>249</v>
      </c>
      <c r="F13" s="2" t="s">
        <v>250</v>
      </c>
      <c r="G13" s="2" t="s">
        <v>181</v>
      </c>
      <c r="H13" s="2" t="s">
        <v>188</v>
      </c>
      <c r="I13" s="2" t="s">
        <v>256</v>
      </c>
      <c r="J13" s="2" t="s">
        <v>257</v>
      </c>
      <c r="K13" s="2" t="s">
        <v>251</v>
      </c>
      <c r="L13" s="2" t="s">
        <v>252</v>
      </c>
    </row>
    <row r="14" spans="8:8">
      <c r="C14" s="3" t="s">
        <v>193</v>
      </c>
      <c r="D14" s="3">
        <v>350.0</v>
      </c>
      <c r="E14" s="3">
        <v>550.0</v>
      </c>
      <c r="F14" s="3">
        <v>750.0</v>
      </c>
      <c r="G14" s="3">
        <v>450.0</v>
      </c>
      <c r="H14" s="3">
        <v>450.0</v>
      </c>
      <c r="I14" s="3">
        <v>700.0</v>
      </c>
      <c r="J14" s="3">
        <v>900.0</v>
      </c>
      <c r="K14" s="3" t="s">
        <v>258</v>
      </c>
      <c r="L14" s="3">
        <v>1500.0</v>
      </c>
    </row>
    <row r="15" spans="8:8">
      <c r="C15" s="3" t="s">
        <v>253</v>
      </c>
      <c r="D15" s="3">
        <v>300.0</v>
      </c>
      <c r="E15" s="3">
        <v>500.0</v>
      </c>
      <c r="F15" s="3">
        <v>700.0</v>
      </c>
      <c r="G15" s="3">
        <v>400.0</v>
      </c>
      <c r="H15" s="3">
        <v>400.0</v>
      </c>
      <c r="I15" s="3">
        <v>650.0</v>
      </c>
      <c r="J15" s="3">
        <v>800.0</v>
      </c>
      <c r="K15" s="3" t="s">
        <v>258</v>
      </c>
      <c r="L15" s="3">
        <v>1300.0</v>
      </c>
    </row>
    <row r="16" spans="8:8">
      <c r="C16" s="3" t="s">
        <v>161</v>
      </c>
      <c r="D16" s="3">
        <v>250.0</v>
      </c>
      <c r="E16" s="3">
        <v>450.0</v>
      </c>
      <c r="F16" s="3">
        <v>650.0</v>
      </c>
      <c r="G16" s="3">
        <v>350.0</v>
      </c>
      <c r="H16" s="3">
        <v>350.0</v>
      </c>
      <c r="I16" s="3">
        <v>550.0</v>
      </c>
      <c r="J16" s="3">
        <v>750.0</v>
      </c>
      <c r="K16" s="3" t="s">
        <v>258</v>
      </c>
      <c r="L16" s="3">
        <v>1200.0</v>
      </c>
    </row>
    <row r="17" spans="8:8">
      <c r="C17" s="3" t="s">
        <v>162</v>
      </c>
      <c r="D17" s="3">
        <v>200.0</v>
      </c>
      <c r="E17" s="3">
        <v>400.0</v>
      </c>
      <c r="F17" s="3">
        <v>550.0</v>
      </c>
      <c r="G17" s="3">
        <v>300.0</v>
      </c>
      <c r="H17" s="3">
        <v>300.0</v>
      </c>
      <c r="I17" s="3">
        <v>450.0</v>
      </c>
      <c r="J17" s="3">
        <v>700.0</v>
      </c>
      <c r="K17" s="3" t="s">
        <v>258</v>
      </c>
      <c r="L17" s="3">
        <v>1100.0</v>
      </c>
    </row>
    <row r="18" spans="8:8">
      <c r="C18" s="3" t="s">
        <v>259</v>
      </c>
      <c r="D18" s="3">
        <v>150.0</v>
      </c>
      <c r="E18" s="3">
        <v>350.0</v>
      </c>
      <c r="F18" s="3">
        <v>450.0</v>
      </c>
      <c r="G18" s="3">
        <v>250.0</v>
      </c>
      <c r="H18" s="3">
        <v>250.0</v>
      </c>
      <c r="I18" s="3">
        <v>400.0</v>
      </c>
      <c r="J18" s="3">
        <v>600.0</v>
      </c>
      <c r="K18" s="3" t="s">
        <v>258</v>
      </c>
      <c r="L18" s="3">
        <v>1000.0</v>
      </c>
    </row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sheetPr>
    <tabColor rgb="FFFFC000"/>
  </sheetPr>
  <dimension ref="B1:AX40"/>
  <sheetViews>
    <sheetView workbookViewId="0" topLeftCell="D1">
      <selection activeCell="D26" sqref="D26"/>
    </sheetView>
  </sheetViews>
  <sheetFormatPr defaultRowHeight="15.0" defaultColWidth="10"/>
  <cols>
    <col min="4" max="4" customWidth="1" width="20.140625" style="0"/>
    <col min="6" max="6" customWidth="1" width="16.710938" style="0"/>
  </cols>
  <sheetData>
    <row r="3" spans="8:8" ht="45.0">
      <c r="B3" s="6" t="s">
        <v>136</v>
      </c>
      <c r="C3" s="6" t="s">
        <v>366</v>
      </c>
      <c r="D3" s="6" t="s">
        <v>156</v>
      </c>
      <c r="E3" s="47" t="s">
        <v>498</v>
      </c>
      <c r="F3" s="6" t="s">
        <v>502</v>
      </c>
    </row>
    <row r="4" spans="8:8">
      <c r="B4" s="48" t="s">
        <v>152</v>
      </c>
      <c r="C4" s="49" t="s">
        <v>367</v>
      </c>
      <c r="D4" s="50" t="s">
        <v>489</v>
      </c>
      <c r="E4" s="51">
        <v>2200.0</v>
      </c>
      <c r="F4" s="52">
        <v>3500.0</v>
      </c>
    </row>
    <row r="5" spans="8:8">
      <c r="B5" s="49"/>
      <c r="C5" s="49"/>
      <c r="D5" s="53">
        <v>16.0</v>
      </c>
      <c r="E5" s="51">
        <v>1700.0</v>
      </c>
      <c r="F5" s="52">
        <v>2700.0</v>
      </c>
    </row>
    <row r="6" spans="8:8">
      <c r="B6" s="49"/>
      <c r="C6" s="49"/>
      <c r="D6" s="53" t="s">
        <v>488</v>
      </c>
      <c r="E6" s="51">
        <v>1500.0</v>
      </c>
      <c r="F6" s="52">
        <v>2500.0</v>
      </c>
    </row>
    <row r="7" spans="8:8">
      <c r="B7" s="49"/>
      <c r="C7" s="49"/>
      <c r="D7" s="53" t="s">
        <v>487</v>
      </c>
      <c r="E7" s="51">
        <v>1300.0</v>
      </c>
      <c r="F7" s="52">
        <v>2300.0</v>
      </c>
    </row>
    <row r="8" spans="8:8">
      <c r="B8" s="49"/>
      <c r="C8" s="49"/>
      <c r="D8" s="53" t="s">
        <v>486</v>
      </c>
      <c r="E8" s="51">
        <v>1200.0</v>
      </c>
      <c r="F8" s="52">
        <v>2200.0</v>
      </c>
    </row>
    <row r="9" spans="8:8">
      <c r="B9" s="49"/>
      <c r="C9" s="49"/>
      <c r="D9" s="54" t="s">
        <v>490</v>
      </c>
      <c r="E9" s="55">
        <v>1000.0</v>
      </c>
      <c r="F9" s="56">
        <v>2000.0</v>
      </c>
    </row>
    <row r="10" spans="8:8">
      <c r="B10" s="48" t="s">
        <v>148</v>
      </c>
      <c r="C10" s="49" t="s">
        <v>368</v>
      </c>
      <c r="D10" s="50" t="s">
        <v>485</v>
      </c>
      <c r="E10" s="51">
        <v>4000.0</v>
      </c>
      <c r="F10" s="52">
        <v>6000.0</v>
      </c>
    </row>
    <row r="11" spans="8:8">
      <c r="B11" s="49"/>
      <c r="C11" s="49"/>
      <c r="D11" s="53">
        <v>8.0</v>
      </c>
      <c r="E11" s="51">
        <v>3200.0</v>
      </c>
      <c r="F11" s="52">
        <v>5000.0</v>
      </c>
    </row>
    <row r="12" spans="8:8">
      <c r="B12" s="49"/>
      <c r="C12" s="49"/>
      <c r="D12" s="53" t="s">
        <v>484</v>
      </c>
      <c r="E12" s="51">
        <v>2700.0</v>
      </c>
      <c r="F12" s="52">
        <v>4500.0</v>
      </c>
    </row>
    <row r="13" spans="8:8">
      <c r="B13" s="49"/>
      <c r="C13" s="49"/>
      <c r="D13" s="53" t="s">
        <v>483</v>
      </c>
      <c r="E13" s="51">
        <v>2500.0</v>
      </c>
      <c r="F13" s="52">
        <v>4000.0</v>
      </c>
    </row>
    <row r="14" spans="8:8">
      <c r="B14" s="49"/>
      <c r="C14" s="49"/>
      <c r="D14" s="53" t="s">
        <v>482</v>
      </c>
      <c r="E14" s="51">
        <v>2200.0</v>
      </c>
      <c r="F14" s="52">
        <v>3500.0</v>
      </c>
    </row>
    <row r="15" spans="8:8">
      <c r="B15" s="49"/>
      <c r="C15" s="49"/>
      <c r="D15" s="54" t="s">
        <v>490</v>
      </c>
      <c r="E15" s="55">
        <v>1800.0</v>
      </c>
      <c r="F15" s="56">
        <v>3000.0</v>
      </c>
      <c r="K15" s="8"/>
      <c r="L15" s="21"/>
      <c r="M15" s="3"/>
      <c r="N15" s="21"/>
      <c r="O15" s="21"/>
      <c r="P15" s="21"/>
    </row>
    <row r="16" spans="8:8">
      <c r="B16" s="48" t="s">
        <v>265</v>
      </c>
      <c r="C16" s="49" t="s">
        <v>369</v>
      </c>
      <c r="D16" s="50" t="s">
        <v>481</v>
      </c>
      <c r="E16" s="51">
        <v>7000.0</v>
      </c>
      <c r="F16" s="52">
        <v>10000.0</v>
      </c>
      <c r="K16" s="8"/>
      <c r="L16" s="3"/>
      <c r="M16" s="3"/>
      <c r="N16" s="3"/>
      <c r="O16" s="3"/>
      <c r="P16" s="3"/>
    </row>
    <row r="17" spans="8:8">
      <c r="B17" s="48"/>
      <c r="C17" s="49"/>
      <c r="D17" s="53">
        <v>4.0</v>
      </c>
      <c r="E17" s="51">
        <v>6000.0</v>
      </c>
      <c r="F17" s="52">
        <v>8000.0</v>
      </c>
      <c r="K17" s="8"/>
      <c r="L17" s="3"/>
      <c r="M17" s="3"/>
      <c r="N17" s="3"/>
      <c r="O17" s="3"/>
      <c r="P17" s="3"/>
    </row>
    <row r="18" spans="8:8">
      <c r="B18" s="48"/>
      <c r="C18" s="49"/>
      <c r="D18" s="53" t="s">
        <v>480</v>
      </c>
      <c r="E18" s="51">
        <v>5000.0</v>
      </c>
      <c r="F18" s="52">
        <v>7000.0</v>
      </c>
      <c r="K18" s="8"/>
      <c r="L18" s="3"/>
      <c r="M18" s="3"/>
      <c r="N18" s="3"/>
      <c r="O18" s="3"/>
      <c r="P18" s="3"/>
    </row>
    <row r="19" spans="8:8">
      <c r="B19" s="49"/>
      <c r="C19" s="49"/>
      <c r="D19" s="53" t="s">
        <v>479</v>
      </c>
      <c r="E19" s="51">
        <v>4500.0</v>
      </c>
      <c r="F19" s="52">
        <v>6000.0</v>
      </c>
      <c r="K19" s="8"/>
      <c r="L19" s="4"/>
      <c r="M19" s="4"/>
      <c r="N19" s="4"/>
      <c r="O19" s="4"/>
      <c r="P19" s="4"/>
    </row>
    <row r="20" spans="8:8">
      <c r="B20" s="49"/>
      <c r="C20" s="49"/>
      <c r="D20" s="53" t="s">
        <v>478</v>
      </c>
      <c r="E20" s="51">
        <v>4000.0</v>
      </c>
      <c r="F20" s="52">
        <v>5000.0</v>
      </c>
    </row>
    <row r="21" spans="8:8">
      <c r="B21" s="49"/>
      <c r="C21" s="49"/>
      <c r="D21" s="54" t="s">
        <v>490</v>
      </c>
      <c r="E21" s="55">
        <v>3500.0</v>
      </c>
      <c r="F21" s="56">
        <v>4500.0</v>
      </c>
    </row>
    <row r="22" spans="8:8">
      <c r="B22" s="48" t="s">
        <v>283</v>
      </c>
      <c r="C22" s="49" t="s">
        <v>370</v>
      </c>
      <c r="D22" s="50">
        <v>1.0</v>
      </c>
      <c r="E22" s="51">
        <v>12000.0</v>
      </c>
      <c r="F22" s="52">
        <v>14000.0</v>
      </c>
    </row>
    <row r="23" spans="8:8">
      <c r="B23" s="48"/>
      <c r="C23" s="49"/>
      <c r="D23" s="53">
        <v>2.0</v>
      </c>
      <c r="E23" s="51">
        <v>10000.0</v>
      </c>
      <c r="F23" s="52">
        <v>13000.0</v>
      </c>
    </row>
    <row r="24" spans="8:8">
      <c r="B24" s="48"/>
      <c r="C24" s="49"/>
      <c r="D24" s="53" t="s">
        <v>475</v>
      </c>
      <c r="E24" s="51">
        <v>9000.0</v>
      </c>
      <c r="F24" s="52">
        <v>11500.0</v>
      </c>
    </row>
    <row r="25" spans="8:8">
      <c r="B25" s="49"/>
      <c r="C25" s="49"/>
      <c r="D25" s="53" t="s">
        <v>476</v>
      </c>
      <c r="E25" s="51">
        <v>8000.0</v>
      </c>
      <c r="F25" s="52">
        <v>10500.0</v>
      </c>
    </row>
    <row r="26" spans="8:8">
      <c r="B26" s="49"/>
      <c r="C26" s="49"/>
      <c r="D26" s="53" t="s">
        <v>477</v>
      </c>
      <c r="E26" s="51">
        <v>7000.0</v>
      </c>
      <c r="F26" s="52">
        <v>9500.0</v>
      </c>
    </row>
    <row r="27" spans="8:8">
      <c r="B27" s="49"/>
      <c r="C27" s="49"/>
      <c r="D27" s="54" t="s">
        <v>490</v>
      </c>
      <c r="E27" s="55">
        <v>6500.0</v>
      </c>
      <c r="F27" s="56">
        <v>8500.0</v>
      </c>
    </row>
    <row r="28" spans="8:8" ht="17.25">
      <c r="B28" s="48" t="s">
        <v>492</v>
      </c>
      <c r="C28" s="49" t="s">
        <v>371</v>
      </c>
      <c r="D28" s="53">
        <v>1.0</v>
      </c>
      <c r="E28" s="51">
        <v>20000.0</v>
      </c>
      <c r="F28" s="52">
        <v>25000.0</v>
      </c>
    </row>
    <row r="29" spans="8:8">
      <c r="B29" s="48"/>
      <c r="C29" s="49"/>
      <c r="D29" s="57" t="s">
        <v>472</v>
      </c>
      <c r="E29" s="51">
        <v>17000.0</v>
      </c>
      <c r="F29" s="52">
        <v>22000.0</v>
      </c>
    </row>
    <row r="30" spans="8:8">
      <c r="B30" s="49"/>
      <c r="C30" s="49"/>
      <c r="D30" s="57" t="s">
        <v>473</v>
      </c>
      <c r="E30" s="51">
        <v>15000.0</v>
      </c>
      <c r="F30" s="52">
        <v>20000.0</v>
      </c>
    </row>
    <row r="31" spans="8:8">
      <c r="B31" s="49"/>
      <c r="C31" s="49"/>
      <c r="D31" s="57" t="s">
        <v>474</v>
      </c>
      <c r="E31" s="51">
        <v>13000.0</v>
      </c>
      <c r="F31" s="52">
        <v>18000.0</v>
      </c>
    </row>
    <row r="32" spans="8:8">
      <c r="D32" s="54" t="s">
        <v>490</v>
      </c>
      <c r="E32" s="55">
        <v>12000.0</v>
      </c>
      <c r="F32" s="56">
        <v>16000.0</v>
      </c>
    </row>
    <row r="35" spans="8:8">
      <c r="B35" s="58" t="s">
        <v>372</v>
      </c>
      <c r="C35" s="58"/>
      <c r="D35" s="58"/>
      <c r="E35" s="13" t="s">
        <v>328</v>
      </c>
    </row>
    <row r="36" spans="8:8">
      <c r="B36" s="59"/>
      <c r="C36" s="13"/>
      <c r="D36" s="13"/>
      <c r="E36" s="13"/>
    </row>
    <row r="37" spans="8:8">
      <c r="B37" s="60" t="s">
        <v>373</v>
      </c>
      <c r="C37" s="60"/>
      <c r="D37" s="60"/>
      <c r="E37" s="60"/>
    </row>
    <row r="38" spans="8:8">
      <c r="B38" s="59"/>
      <c r="C38" s="13"/>
      <c r="D38" s="13"/>
      <c r="E38" s="13"/>
    </row>
    <row r="40" spans="8:8">
      <c r="B40" s="61" t="s">
        <v>491</v>
      </c>
      <c r="C40" s="61"/>
      <c r="D40" s="61"/>
      <c r="E40" s="61"/>
    </row>
  </sheetData>
  <mergeCells count="3">
    <mergeCell ref="B35:D35"/>
    <mergeCell ref="B37:E37"/>
    <mergeCell ref="B40:E40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sheetPr>
    <tabColor rgb="FFFFC000"/>
  </sheetPr>
  <dimension ref="B1:AX40"/>
  <sheetViews>
    <sheetView workbookViewId="0">
      <selection activeCell="F47" sqref="F47"/>
    </sheetView>
  </sheetViews>
  <sheetFormatPr defaultRowHeight="15.0" defaultColWidth="10"/>
  <cols>
    <col min="4" max="4" customWidth="1" width="20.140625" style="0"/>
    <col min="6" max="6" customWidth="1" width="16.710938" style="0"/>
  </cols>
  <sheetData>
    <row r="3" spans="8:8" ht="45.0">
      <c r="B3" s="6" t="s">
        <v>136</v>
      </c>
      <c r="C3" s="6" t="s">
        <v>366</v>
      </c>
      <c r="D3" s="6" t="s">
        <v>156</v>
      </c>
      <c r="E3" s="47" t="s">
        <v>498</v>
      </c>
      <c r="F3" s="6" t="s">
        <v>502</v>
      </c>
    </row>
    <row r="4" spans="8:8">
      <c r="B4" s="48" t="s">
        <v>152</v>
      </c>
      <c r="C4" s="49" t="s">
        <v>367</v>
      </c>
      <c r="D4" s="50" t="s">
        <v>489</v>
      </c>
      <c r="E4" s="51">
        <v>2200.0</v>
      </c>
      <c r="F4" s="52">
        <v>3500.0</v>
      </c>
    </row>
    <row r="5" spans="8:8">
      <c r="B5" s="49"/>
      <c r="C5" s="49"/>
      <c r="D5" s="53">
        <v>16.0</v>
      </c>
      <c r="E5" s="51">
        <v>1700.0</v>
      </c>
      <c r="F5" s="52">
        <v>2700.0</v>
      </c>
    </row>
    <row r="6" spans="8:8">
      <c r="B6" s="49"/>
      <c r="C6" s="49"/>
      <c r="D6" s="53" t="s">
        <v>488</v>
      </c>
      <c r="E6" s="51">
        <v>1500.0</v>
      </c>
      <c r="F6" s="52">
        <v>2500.0</v>
      </c>
    </row>
    <row r="7" spans="8:8">
      <c r="B7" s="49"/>
      <c r="C7" s="49"/>
      <c r="D7" s="53" t="s">
        <v>487</v>
      </c>
      <c r="E7" s="51">
        <v>1300.0</v>
      </c>
      <c r="F7" s="52">
        <v>2300.0</v>
      </c>
    </row>
    <row r="8" spans="8:8">
      <c r="B8" s="49"/>
      <c r="C8" s="49"/>
      <c r="D8" s="53" t="s">
        <v>486</v>
      </c>
      <c r="E8" s="51">
        <v>1200.0</v>
      </c>
      <c r="F8" s="52">
        <v>2200.0</v>
      </c>
    </row>
    <row r="9" spans="8:8">
      <c r="B9" s="49"/>
      <c r="C9" s="49"/>
      <c r="D9" s="54" t="s">
        <v>490</v>
      </c>
      <c r="E9" s="55">
        <v>1000.0</v>
      </c>
      <c r="F9" s="56">
        <v>2000.0</v>
      </c>
    </row>
    <row r="10" spans="8:8">
      <c r="B10" s="48" t="s">
        <v>148</v>
      </c>
      <c r="C10" s="49" t="s">
        <v>368</v>
      </c>
      <c r="D10" s="50" t="s">
        <v>485</v>
      </c>
      <c r="E10" s="51">
        <v>4000.0</v>
      </c>
      <c r="F10" s="52">
        <v>6000.0</v>
      </c>
    </row>
    <row r="11" spans="8:8">
      <c r="B11" s="49"/>
      <c r="C11" s="49"/>
      <c r="D11" s="53">
        <v>8.0</v>
      </c>
      <c r="E11" s="51">
        <v>3200.0</v>
      </c>
      <c r="F11" s="52">
        <v>5000.0</v>
      </c>
    </row>
    <row r="12" spans="8:8">
      <c r="B12" s="49"/>
      <c r="C12" s="49"/>
      <c r="D12" s="53" t="s">
        <v>484</v>
      </c>
      <c r="E12" s="51">
        <v>2700.0</v>
      </c>
      <c r="F12" s="52">
        <v>4500.0</v>
      </c>
    </row>
    <row r="13" spans="8:8">
      <c r="B13" s="49"/>
      <c r="C13" s="49"/>
      <c r="D13" s="53" t="s">
        <v>483</v>
      </c>
      <c r="E13" s="51">
        <v>2500.0</v>
      </c>
      <c r="F13" s="52">
        <v>4000.0</v>
      </c>
    </row>
    <row r="14" spans="8:8">
      <c r="B14" s="49"/>
      <c r="C14" s="49"/>
      <c r="D14" s="53" t="s">
        <v>482</v>
      </c>
      <c r="E14" s="51">
        <v>2200.0</v>
      </c>
      <c r="F14" s="52">
        <v>3500.0</v>
      </c>
    </row>
    <row r="15" spans="8:8">
      <c r="B15" s="49"/>
      <c r="C15" s="49"/>
      <c r="D15" s="54" t="s">
        <v>490</v>
      </c>
      <c r="E15" s="55">
        <v>1800.0</v>
      </c>
      <c r="F15" s="56">
        <v>3000.0</v>
      </c>
      <c r="K15" s="8"/>
      <c r="L15" s="21"/>
      <c r="M15" s="3"/>
      <c r="N15" s="21"/>
      <c r="O15" s="21"/>
      <c r="P15" s="21"/>
    </row>
    <row r="16" spans="8:8">
      <c r="B16" s="48" t="s">
        <v>265</v>
      </c>
      <c r="C16" s="49" t="s">
        <v>369</v>
      </c>
      <c r="D16" s="50" t="s">
        <v>481</v>
      </c>
      <c r="E16" s="51">
        <v>7000.0</v>
      </c>
      <c r="F16" s="52">
        <v>10000.0</v>
      </c>
      <c r="K16" s="8"/>
      <c r="L16" s="3"/>
      <c r="M16" s="3"/>
      <c r="N16" s="3"/>
      <c r="O16" s="3"/>
      <c r="P16" s="3"/>
    </row>
    <row r="17" spans="8:8">
      <c r="B17" s="48"/>
      <c r="C17" s="49"/>
      <c r="D17" s="53">
        <v>4.0</v>
      </c>
      <c r="E17" s="51">
        <v>6000.0</v>
      </c>
      <c r="F17" s="52">
        <v>8000.0</v>
      </c>
      <c r="K17" s="8"/>
      <c r="L17" s="3"/>
      <c r="M17" s="3"/>
      <c r="N17" s="3"/>
      <c r="O17" s="3"/>
      <c r="P17" s="3"/>
    </row>
    <row r="18" spans="8:8">
      <c r="B18" s="48"/>
      <c r="C18" s="49"/>
      <c r="D18" s="53" t="s">
        <v>480</v>
      </c>
      <c r="E18" s="51">
        <v>5000.0</v>
      </c>
      <c r="F18" s="52">
        <v>7000.0</v>
      </c>
      <c r="K18" s="8"/>
      <c r="L18" s="3"/>
      <c r="M18" s="3"/>
      <c r="N18" s="3"/>
      <c r="O18" s="3"/>
      <c r="P18" s="3"/>
    </row>
    <row r="19" spans="8:8">
      <c r="B19" s="49"/>
      <c r="C19" s="49"/>
      <c r="D19" s="53" t="s">
        <v>479</v>
      </c>
      <c r="E19" s="51">
        <v>4500.0</v>
      </c>
      <c r="F19" s="52">
        <v>6000.0</v>
      </c>
      <c r="K19" s="8"/>
      <c r="L19" s="4"/>
      <c r="M19" s="4"/>
      <c r="N19" s="4"/>
      <c r="O19" s="4"/>
      <c r="P19" s="4"/>
    </row>
    <row r="20" spans="8:8">
      <c r="B20" s="49"/>
      <c r="C20" s="49"/>
      <c r="D20" s="53" t="s">
        <v>478</v>
      </c>
      <c r="E20" s="51">
        <v>4000.0</v>
      </c>
      <c r="F20" s="52">
        <v>5000.0</v>
      </c>
    </row>
    <row r="21" spans="8:8">
      <c r="B21" s="49"/>
      <c r="C21" s="49"/>
      <c r="D21" s="54" t="s">
        <v>490</v>
      </c>
      <c r="E21" s="55">
        <v>3500.0</v>
      </c>
      <c r="F21" s="56">
        <v>4500.0</v>
      </c>
    </row>
    <row r="22" spans="8:8">
      <c r="B22" s="48" t="s">
        <v>283</v>
      </c>
      <c r="C22" s="49" t="s">
        <v>370</v>
      </c>
      <c r="D22" s="50">
        <v>1.0</v>
      </c>
      <c r="E22" s="51">
        <v>12000.0</v>
      </c>
      <c r="F22" s="52">
        <v>14000.0</v>
      </c>
    </row>
    <row r="23" spans="8:8">
      <c r="B23" s="48"/>
      <c r="C23" s="49"/>
      <c r="D23" s="53">
        <v>2.0</v>
      </c>
      <c r="E23" s="51">
        <v>10000.0</v>
      </c>
      <c r="F23" s="52">
        <v>13000.0</v>
      </c>
    </row>
    <row r="24" spans="8:8">
      <c r="B24" s="48"/>
      <c r="C24" s="49"/>
      <c r="D24" s="53" t="s">
        <v>475</v>
      </c>
      <c r="E24" s="51">
        <v>9000.0</v>
      </c>
      <c r="F24" s="52">
        <v>11500.0</v>
      </c>
    </row>
    <row r="25" spans="8:8">
      <c r="B25" s="49"/>
      <c r="C25" s="49"/>
      <c r="D25" s="53" t="s">
        <v>476</v>
      </c>
      <c r="E25" s="51">
        <v>8000.0</v>
      </c>
      <c r="F25" s="52">
        <v>10500.0</v>
      </c>
    </row>
    <row r="26" spans="8:8">
      <c r="B26" s="49"/>
      <c r="C26" s="49"/>
      <c r="D26" s="53" t="s">
        <v>477</v>
      </c>
      <c r="E26" s="51">
        <v>7000.0</v>
      </c>
      <c r="F26" s="52">
        <v>9500.0</v>
      </c>
    </row>
    <row r="27" spans="8:8">
      <c r="B27" s="49"/>
      <c r="C27" s="49"/>
      <c r="D27" s="54" t="s">
        <v>490</v>
      </c>
      <c r="E27" s="55">
        <v>6500.0</v>
      </c>
      <c r="F27" s="56">
        <v>8500.0</v>
      </c>
    </row>
    <row r="28" spans="8:8" ht="17.25">
      <c r="B28" s="48" t="s">
        <v>492</v>
      </c>
      <c r="C28" s="49" t="s">
        <v>371</v>
      </c>
      <c r="D28" s="53">
        <v>1.0</v>
      </c>
      <c r="E28" s="51">
        <v>20000.0</v>
      </c>
      <c r="F28" s="52">
        <v>25000.0</v>
      </c>
    </row>
    <row r="29" spans="8:8">
      <c r="B29" s="48"/>
      <c r="C29" s="49"/>
      <c r="D29" s="57" t="s">
        <v>472</v>
      </c>
      <c r="E29" s="51">
        <v>17000.0</v>
      </c>
      <c r="F29" s="52">
        <v>22000.0</v>
      </c>
    </row>
    <row r="30" spans="8:8">
      <c r="B30" s="49"/>
      <c r="C30" s="49"/>
      <c r="D30" s="57" t="s">
        <v>473</v>
      </c>
      <c r="E30" s="51">
        <v>15000.0</v>
      </c>
      <c r="F30" s="52">
        <v>20000.0</v>
      </c>
    </row>
    <row r="31" spans="8:8">
      <c r="B31" s="49"/>
      <c r="C31" s="49"/>
      <c r="D31" s="57" t="s">
        <v>474</v>
      </c>
      <c r="E31" s="51">
        <v>13000.0</v>
      </c>
      <c r="F31" s="52">
        <v>18000.0</v>
      </c>
    </row>
    <row r="32" spans="8:8">
      <c r="D32" s="54" t="s">
        <v>490</v>
      </c>
      <c r="E32" s="55">
        <v>12000.0</v>
      </c>
      <c r="F32" s="56">
        <v>16000.0</v>
      </c>
    </row>
    <row r="35" spans="8:8">
      <c r="B35" s="58" t="s">
        <v>372</v>
      </c>
      <c r="C35" s="58"/>
      <c r="D35" s="58"/>
      <c r="E35" s="13" t="s">
        <v>328</v>
      </c>
    </row>
    <row r="36" spans="8:8">
      <c r="B36" s="59"/>
      <c r="C36" s="13"/>
      <c r="D36" s="13"/>
      <c r="E36" s="13"/>
    </row>
    <row r="37" spans="8:8">
      <c r="B37" s="60" t="s">
        <v>373</v>
      </c>
      <c r="C37" s="60"/>
      <c r="D37" s="60"/>
      <c r="E37" s="60"/>
    </row>
    <row r="38" spans="8:8">
      <c r="B38" s="59"/>
      <c r="C38" s="13"/>
      <c r="D38" s="13"/>
      <c r="E38" s="13"/>
    </row>
    <row r="40" spans="8:8">
      <c r="B40" s="61" t="s">
        <v>491</v>
      </c>
      <c r="C40" s="61"/>
      <c r="D40" s="61"/>
      <c r="E40" s="61"/>
    </row>
  </sheetData>
  <mergeCells count="3">
    <mergeCell ref="B35:D35"/>
    <mergeCell ref="B37:E37"/>
    <mergeCell ref="B40:E40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sheetPr>
    <tabColor rgb="FFFF0000"/>
  </sheetPr>
  <dimension ref="C1:AP8"/>
  <sheetViews>
    <sheetView workbookViewId="0">
      <selection activeCell="C4" sqref="C4:H8"/>
    </sheetView>
  </sheetViews>
  <sheetFormatPr defaultRowHeight="15.0" defaultColWidth="10"/>
  <sheetData>
    <row r="3" spans="8:8">
      <c r="C3" s="2" t="s">
        <v>136</v>
      </c>
      <c r="D3" s="62" t="s">
        <v>471</v>
      </c>
      <c r="E3" s="2" t="s">
        <v>261</v>
      </c>
      <c r="F3" s="2" t="s">
        <v>262</v>
      </c>
      <c r="G3" s="2" t="s">
        <v>263</v>
      </c>
      <c r="H3" s="2" t="s">
        <v>264</v>
      </c>
    </row>
    <row r="4" spans="8:8">
      <c r="C4" s="8" t="s">
        <v>150</v>
      </c>
      <c r="D4" s="21">
        <v>700.0</v>
      </c>
      <c r="E4" s="3">
        <v>500.0</v>
      </c>
      <c r="F4" s="21">
        <v>450.0</v>
      </c>
      <c r="G4" s="21">
        <v>400.0</v>
      </c>
      <c r="H4" s="21">
        <v>350.0</v>
      </c>
    </row>
    <row r="5" spans="8:8">
      <c r="C5" s="8" t="s">
        <v>151</v>
      </c>
      <c r="D5" s="3">
        <v>1500.0</v>
      </c>
      <c r="E5" s="3">
        <v>1200.0</v>
      </c>
      <c r="F5" s="3">
        <v>1150.0</v>
      </c>
      <c r="G5" s="3">
        <v>1100.0</v>
      </c>
      <c r="H5" s="3">
        <v>1000.0</v>
      </c>
    </row>
    <row r="6" spans="8:8">
      <c r="C6" s="8" t="s">
        <v>152</v>
      </c>
      <c r="D6" s="3">
        <v>3000.0</v>
      </c>
      <c r="E6" s="3">
        <v>2400.0</v>
      </c>
      <c r="F6" s="3">
        <v>2300.0</v>
      </c>
      <c r="G6" s="3">
        <v>2200.0</v>
      </c>
      <c r="H6" s="3">
        <v>2000.0</v>
      </c>
    </row>
    <row r="7" spans="8:8">
      <c r="C7" s="8" t="s">
        <v>260</v>
      </c>
      <c r="D7" s="3">
        <v>5000.0</v>
      </c>
      <c r="E7" s="3">
        <v>4000.0</v>
      </c>
      <c r="F7" s="3">
        <v>3900.0</v>
      </c>
      <c r="G7" s="3">
        <v>3700.0</v>
      </c>
      <c r="H7" s="3">
        <v>3500.0</v>
      </c>
    </row>
    <row r="8" spans="8:8">
      <c r="C8" s="8" t="s">
        <v>265</v>
      </c>
      <c r="D8" s="4">
        <v>10000.0</v>
      </c>
      <c r="E8" s="4">
        <v>8000.0</v>
      </c>
      <c r="F8" s="4">
        <v>7000.0</v>
      </c>
      <c r="G8" s="4">
        <v>6000.0</v>
      </c>
      <c r="H8" s="4">
        <v>5000.0</v>
      </c>
    </row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B1:AP49"/>
  <sheetViews>
    <sheetView workbookViewId="0" zoomScale="75">
      <selection activeCell="F24" sqref="F24"/>
    </sheetView>
  </sheetViews>
  <sheetFormatPr defaultRowHeight="15.0" defaultColWidth="10"/>
  <cols>
    <col min="2" max="2" customWidth="1" width="13.472656" style="0"/>
    <col min="3" max="3" customWidth="1" width="18.0" style="0"/>
    <col min="5" max="5" customWidth="1" width="14.7109375" style="0"/>
    <col min="7" max="7" customWidth="1" width="14.0" style="0"/>
  </cols>
  <sheetData>
    <row r="2" spans="8:8">
      <c r="B2" s="46" t="s">
        <v>297</v>
      </c>
    </row>
    <row r="3" spans="8:8">
      <c r="B3" s="63" t="s">
        <v>136</v>
      </c>
      <c r="C3" s="63" t="s">
        <v>156</v>
      </c>
      <c r="D3" s="63" t="s">
        <v>146</v>
      </c>
      <c r="E3" s="63" t="s">
        <v>147</v>
      </c>
      <c r="F3" s="63"/>
      <c r="G3" s="63"/>
    </row>
    <row r="4" spans="8:8">
      <c r="B4" s="64" t="s">
        <v>152</v>
      </c>
      <c r="C4" s="65" t="s">
        <v>298</v>
      </c>
      <c r="D4" s="65" t="s">
        <v>124</v>
      </c>
      <c r="E4" s="65" t="s">
        <v>266</v>
      </c>
      <c r="F4" s="65"/>
      <c r="G4" s="65"/>
    </row>
    <row r="5" spans="8:8">
      <c r="B5" s="65"/>
      <c r="C5" s="65" t="s">
        <v>299</v>
      </c>
      <c r="D5" s="65" t="s">
        <v>267</v>
      </c>
      <c r="E5" s="65" t="s">
        <v>268</v>
      </c>
      <c r="F5" s="65"/>
      <c r="G5" s="65"/>
    </row>
    <row r="6" spans="8:8">
      <c r="B6" s="65"/>
      <c r="C6" s="65" t="s">
        <v>300</v>
      </c>
      <c r="D6" s="65" t="s">
        <v>270</v>
      </c>
      <c r="E6" s="65" t="s">
        <v>271</v>
      </c>
      <c r="F6" s="65"/>
      <c r="G6" s="65"/>
    </row>
    <row r="7" spans="8:8">
      <c r="B7" s="64" t="s">
        <v>148</v>
      </c>
      <c r="C7" s="65" t="s">
        <v>298</v>
      </c>
      <c r="D7" s="65" t="s">
        <v>272</v>
      </c>
      <c r="E7" s="65" t="s">
        <v>273</v>
      </c>
      <c r="F7" s="65"/>
      <c r="G7" s="65"/>
    </row>
    <row r="8" spans="8:8">
      <c r="B8" s="65"/>
      <c r="C8" s="65" t="s">
        <v>299</v>
      </c>
      <c r="D8" s="65" t="s">
        <v>274</v>
      </c>
      <c r="E8" s="65" t="s">
        <v>275</v>
      </c>
      <c r="F8" s="65"/>
      <c r="G8" s="65"/>
    </row>
    <row r="9" spans="8:8">
      <c r="B9" s="65"/>
      <c r="C9" s="65" t="s">
        <v>300</v>
      </c>
      <c r="D9" s="65" t="s">
        <v>124</v>
      </c>
      <c r="E9" s="65" t="s">
        <v>276</v>
      </c>
      <c r="F9" s="65"/>
      <c r="G9" s="65"/>
    </row>
    <row r="10" spans="8:8">
      <c r="B10" s="64" t="s">
        <v>265</v>
      </c>
      <c r="C10" s="65" t="s">
        <v>298</v>
      </c>
      <c r="D10" s="65" t="s">
        <v>277</v>
      </c>
      <c r="E10" s="65" t="s">
        <v>278</v>
      </c>
      <c r="F10" s="65"/>
      <c r="G10" s="65"/>
    </row>
    <row r="11" spans="8:8">
      <c r="B11" s="65"/>
      <c r="C11" s="65" t="s">
        <v>299</v>
      </c>
      <c r="D11" s="65" t="s">
        <v>279</v>
      </c>
      <c r="E11" s="65" t="s">
        <v>280</v>
      </c>
      <c r="F11" s="65"/>
      <c r="G11" s="65"/>
    </row>
    <row r="12" spans="8:8">
      <c r="B12" s="65"/>
      <c r="C12" s="65" t="s">
        <v>300</v>
      </c>
      <c r="D12" s="65" t="s">
        <v>281</v>
      </c>
      <c r="E12" s="65" t="s">
        <v>282</v>
      </c>
      <c r="F12" s="65"/>
      <c r="G12" s="65"/>
    </row>
    <row r="13" spans="8:8">
      <c r="B13" s="64" t="s">
        <v>283</v>
      </c>
      <c r="C13" s="65" t="s">
        <v>298</v>
      </c>
      <c r="D13" s="65" t="s">
        <v>284</v>
      </c>
      <c r="E13" s="65" t="s">
        <v>285</v>
      </c>
      <c r="F13" s="65"/>
      <c r="G13" s="65"/>
    </row>
    <row r="14" spans="8:8">
      <c r="B14" s="65"/>
      <c r="C14" s="65" t="s">
        <v>299</v>
      </c>
      <c r="D14" s="65" t="s">
        <v>286</v>
      </c>
      <c r="E14" s="65" t="s">
        <v>287</v>
      </c>
      <c r="F14" s="65"/>
      <c r="G14" s="65"/>
    </row>
    <row r="15" spans="8:8">
      <c r="B15" s="65"/>
      <c r="C15" s="65" t="s">
        <v>300</v>
      </c>
      <c r="D15" s="65" t="s">
        <v>288</v>
      </c>
      <c r="E15" s="65" t="s">
        <v>289</v>
      </c>
      <c r="F15" s="65"/>
      <c r="G15" s="65"/>
    </row>
    <row r="16" spans="8:8">
      <c r="B16" s="64" t="s">
        <v>290</v>
      </c>
      <c r="C16" s="65" t="s">
        <v>298</v>
      </c>
      <c r="D16" s="65" t="s">
        <v>291</v>
      </c>
      <c r="E16" s="65" t="s">
        <v>292</v>
      </c>
      <c r="F16" s="65"/>
      <c r="G16" s="65"/>
      <c r="H16" s="65"/>
    </row>
    <row r="17" spans="8:8">
      <c r="B17" s="65"/>
      <c r="C17" s="65" t="s">
        <v>299</v>
      </c>
      <c r="D17" s="65" t="s">
        <v>293</v>
      </c>
      <c r="E17" s="65" t="s">
        <v>294</v>
      </c>
      <c r="F17" s="65"/>
      <c r="G17" s="65"/>
    </row>
    <row r="18" spans="8:8">
      <c r="B18" s="65"/>
      <c r="C18" s="65" t="s">
        <v>300</v>
      </c>
      <c r="D18" s="65" t="s">
        <v>295</v>
      </c>
      <c r="E18" s="65" t="s">
        <v>296</v>
      </c>
      <c r="F18" s="65"/>
      <c r="G18" s="65"/>
    </row>
    <row r="20" spans="8:8">
      <c r="B20" s="46" t="s">
        <v>515</v>
      </c>
    </row>
    <row r="21" spans="8:8">
      <c r="B21" s="2" t="s">
        <v>136</v>
      </c>
      <c r="C21" s="2" t="s">
        <v>156</v>
      </c>
      <c r="D21" s="2" t="s">
        <v>146</v>
      </c>
      <c r="E21" s="2" t="s">
        <v>147</v>
      </c>
      <c r="F21" s="2"/>
      <c r="G21" s="2"/>
    </row>
    <row r="22" spans="8:8">
      <c r="B22" s="8" t="s">
        <v>152</v>
      </c>
      <c r="C22" s="3" t="s">
        <v>298</v>
      </c>
      <c r="D22" s="3" t="s">
        <v>272</v>
      </c>
      <c r="E22" s="3" t="s">
        <v>301</v>
      </c>
      <c r="F22" s="3"/>
      <c r="G22" s="3"/>
    </row>
    <row r="23" spans="8:8">
      <c r="B23" s="3"/>
      <c r="C23" s="3" t="s">
        <v>299</v>
      </c>
      <c r="D23" s="3" t="s">
        <v>302</v>
      </c>
      <c r="E23" s="3" t="s">
        <v>277</v>
      </c>
      <c r="F23" s="3"/>
      <c r="G23" s="3"/>
    </row>
    <row r="24" spans="8:8">
      <c r="B24" s="3"/>
      <c r="C24" s="3" t="s">
        <v>300</v>
      </c>
      <c r="D24" s="3" t="s">
        <v>274</v>
      </c>
      <c r="E24" s="3" t="s">
        <v>303</v>
      </c>
      <c r="F24" s="3"/>
      <c r="G24" s="3"/>
    </row>
    <row r="25" spans="8:8">
      <c r="B25" s="8" t="s">
        <v>148</v>
      </c>
      <c r="C25" s="3" t="s">
        <v>298</v>
      </c>
      <c r="D25" s="3" t="s">
        <v>277</v>
      </c>
      <c r="E25" s="3" t="s">
        <v>280</v>
      </c>
      <c r="F25" s="3"/>
      <c r="G25" s="3"/>
    </row>
    <row r="26" spans="8:8">
      <c r="B26" s="3"/>
      <c r="C26" s="3" t="s">
        <v>299</v>
      </c>
      <c r="D26" s="3" t="s">
        <v>304</v>
      </c>
      <c r="E26" s="3" t="s">
        <v>282</v>
      </c>
      <c r="F26" s="3"/>
      <c r="G26" s="3"/>
    </row>
    <row r="27" spans="8:8">
      <c r="B27" s="3"/>
      <c r="C27" s="3" t="s">
        <v>300</v>
      </c>
      <c r="D27" s="3" t="s">
        <v>303</v>
      </c>
      <c r="E27" s="3" t="s">
        <v>273</v>
      </c>
      <c r="F27" s="3"/>
      <c r="G27" s="3"/>
    </row>
    <row r="28" spans="8:8">
      <c r="B28" s="8" t="s">
        <v>265</v>
      </c>
      <c r="C28" s="3" t="s">
        <v>298</v>
      </c>
      <c r="D28" s="3" t="s">
        <v>305</v>
      </c>
      <c r="E28" s="3" t="s">
        <v>306</v>
      </c>
      <c r="F28" s="3"/>
      <c r="G28" s="3"/>
    </row>
    <row r="29" spans="8:8">
      <c r="B29" s="3"/>
      <c r="C29" s="3" t="s">
        <v>299</v>
      </c>
      <c r="D29" s="3" t="s">
        <v>307</v>
      </c>
      <c r="E29" s="3" t="s">
        <v>308</v>
      </c>
      <c r="F29" s="3"/>
      <c r="G29" s="3"/>
    </row>
    <row r="30" spans="8:8">
      <c r="B30" s="3"/>
      <c r="C30" s="3" t="s">
        <v>300</v>
      </c>
      <c r="D30" s="3" t="s">
        <v>309</v>
      </c>
      <c r="E30" s="3" t="s">
        <v>284</v>
      </c>
      <c r="F30" s="3"/>
      <c r="G30" s="3"/>
    </row>
    <row r="31" spans="8:8">
      <c r="B31" s="8" t="s">
        <v>283</v>
      </c>
      <c r="C31" s="3" t="s">
        <v>298</v>
      </c>
      <c r="D31" s="3" t="s">
        <v>295</v>
      </c>
      <c r="E31" s="3" t="s">
        <v>310</v>
      </c>
      <c r="F31" s="3"/>
      <c r="G31" s="3"/>
    </row>
    <row r="32" spans="8:8">
      <c r="B32" s="3"/>
      <c r="C32" s="3" t="s">
        <v>299</v>
      </c>
      <c r="D32" s="3" t="s">
        <v>311</v>
      </c>
      <c r="E32" s="3" t="s">
        <v>312</v>
      </c>
      <c r="F32" s="3"/>
      <c r="G32" s="3"/>
    </row>
    <row r="33" spans="8:8">
      <c r="B33" s="3"/>
      <c r="C33" s="3" t="s">
        <v>300</v>
      </c>
      <c r="D33" s="3" t="s">
        <v>313</v>
      </c>
      <c r="E33" s="3" t="s">
        <v>291</v>
      </c>
      <c r="F33" s="3"/>
      <c r="G33" s="3"/>
    </row>
    <row r="34" spans="8:8">
      <c r="B34" s="8" t="s">
        <v>290</v>
      </c>
      <c r="C34" s="3" t="s">
        <v>298</v>
      </c>
      <c r="D34" s="3" t="s">
        <v>314</v>
      </c>
      <c r="E34" s="3" t="s">
        <v>315</v>
      </c>
      <c r="F34" s="3"/>
      <c r="G34" s="3"/>
    </row>
    <row r="35" spans="8:8">
      <c r="B35" s="3"/>
      <c r="C35" s="3" t="s">
        <v>299</v>
      </c>
      <c r="D35" s="3" t="s">
        <v>316</v>
      </c>
      <c r="E35" s="3" t="s">
        <v>317</v>
      </c>
      <c r="F35" s="3"/>
      <c r="G35" s="3"/>
    </row>
    <row r="36" spans="8:8">
      <c r="B36" s="3"/>
      <c r="C36" s="3" t="s">
        <v>300</v>
      </c>
      <c r="D36" s="3" t="s">
        <v>318</v>
      </c>
      <c r="E36" s="3" t="s">
        <v>318</v>
      </c>
      <c r="F36" s="3"/>
      <c r="G36" s="3"/>
    </row>
    <row r="39" spans="8:8">
      <c r="B39" s="58" t="s">
        <v>322</v>
      </c>
      <c r="C39" s="58"/>
      <c r="D39" s="58"/>
      <c r="E39" s="13" t="s">
        <v>328</v>
      </c>
      <c r="F39" s="13"/>
      <c r="G39" s="13"/>
      <c r="H39" s="13"/>
    </row>
    <row r="40" spans="8:8">
      <c r="B40" s="59"/>
      <c r="C40" s="13"/>
      <c r="D40" s="13"/>
      <c r="E40" s="13"/>
      <c r="F40" s="13"/>
      <c r="G40" s="13"/>
      <c r="H40" s="13"/>
    </row>
    <row r="41" spans="8:8">
      <c r="B41" s="59" t="s">
        <v>323</v>
      </c>
      <c r="C41" s="13"/>
      <c r="D41" s="13"/>
      <c r="E41" s="13"/>
      <c r="F41" s="13"/>
      <c r="G41" s="13"/>
      <c r="H41" s="13"/>
    </row>
    <row r="42" spans="8:8">
      <c r="B42" s="59" t="s">
        <v>324</v>
      </c>
      <c r="C42" s="13"/>
      <c r="D42" s="13"/>
      <c r="E42" s="13"/>
      <c r="F42" s="13"/>
      <c r="G42" s="13"/>
      <c r="H42" s="13"/>
    </row>
    <row r="43" spans="8:8">
      <c r="B43" s="59" t="s">
        <v>320</v>
      </c>
      <c r="C43" s="13"/>
      <c r="D43" s="13"/>
      <c r="E43" s="13"/>
      <c r="F43" s="13"/>
      <c r="G43" s="13"/>
      <c r="H43" s="13"/>
    </row>
    <row r="44" spans="8:8">
      <c r="B44" s="13"/>
      <c r="C44" s="13"/>
      <c r="D44" s="13"/>
      <c r="E44" s="13"/>
      <c r="F44" s="13"/>
      <c r="G44" s="13"/>
      <c r="H44" s="13"/>
    </row>
    <row r="45" spans="8:8">
      <c r="B45" s="58" t="s">
        <v>325</v>
      </c>
      <c r="C45" s="58"/>
      <c r="D45" s="58"/>
      <c r="E45" s="13"/>
      <c r="F45" s="13"/>
      <c r="G45" s="13"/>
      <c r="H45" s="13"/>
    </row>
    <row r="46" spans="8:8">
      <c r="B46" s="59"/>
      <c r="C46" s="13"/>
      <c r="D46" s="13"/>
      <c r="E46" s="13"/>
      <c r="F46" s="13"/>
      <c r="G46" s="13"/>
      <c r="H46" s="13"/>
    </row>
    <row r="47" spans="8:8">
      <c r="B47" s="59" t="s">
        <v>326</v>
      </c>
      <c r="C47" s="13"/>
      <c r="D47" s="13"/>
      <c r="E47" s="13"/>
      <c r="F47" s="13"/>
      <c r="G47" s="13"/>
      <c r="H47" s="13"/>
    </row>
    <row r="48" spans="8:8">
      <c r="B48" s="59" t="s">
        <v>327</v>
      </c>
      <c r="C48" s="13"/>
      <c r="D48" s="13"/>
      <c r="E48" s="13"/>
      <c r="F48" s="13"/>
      <c r="G48" s="13"/>
      <c r="H48" s="13"/>
    </row>
    <row r="49" spans="8:8">
      <c r="B49" s="59" t="s">
        <v>321</v>
      </c>
      <c r="C49" s="13"/>
      <c r="D49" s="13"/>
      <c r="E49" s="13"/>
      <c r="F49" s="13"/>
      <c r="G49" s="13"/>
      <c r="H49" s="13"/>
    </row>
  </sheetData>
  <mergeCells count="2">
    <mergeCell ref="B39:D39"/>
    <mergeCell ref="B45:D45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B1:AP49"/>
  <sheetViews>
    <sheetView workbookViewId="0">
      <selection activeCell="I37" sqref="I37"/>
    </sheetView>
  </sheetViews>
  <sheetFormatPr defaultRowHeight="15.0" defaultColWidth="10"/>
  <cols>
    <col min="3" max="3" customWidth="1" width="18.0" style="0"/>
    <col min="5" max="5" customWidth="1" width="14.7109375" style="0"/>
  </cols>
  <sheetData>
    <row r="2" spans="8:8">
      <c r="B2" s="46" t="s">
        <v>349</v>
      </c>
    </row>
    <row r="3" spans="8:8">
      <c r="B3" s="2" t="s">
        <v>136</v>
      </c>
      <c r="C3" s="2" t="s">
        <v>156</v>
      </c>
      <c r="D3" s="2" t="s">
        <v>146</v>
      </c>
      <c r="E3" s="2" t="s">
        <v>147</v>
      </c>
    </row>
    <row r="4" spans="8:8">
      <c r="B4" s="8" t="s">
        <v>152</v>
      </c>
      <c r="C4" s="3" t="s">
        <v>329</v>
      </c>
      <c r="D4" s="3" t="s">
        <v>281</v>
      </c>
      <c r="E4" s="3" t="s">
        <v>330</v>
      </c>
    </row>
    <row r="5" spans="8:8">
      <c r="B5" s="3"/>
      <c r="C5" s="3" t="s">
        <v>331</v>
      </c>
      <c r="D5" s="3" t="s">
        <v>332</v>
      </c>
      <c r="E5" s="3" t="s">
        <v>275</v>
      </c>
    </row>
    <row r="6" spans="8:8">
      <c r="B6" s="3"/>
      <c r="C6" s="3" t="s">
        <v>333</v>
      </c>
      <c r="D6" s="3" t="s">
        <v>272</v>
      </c>
      <c r="E6" s="3" t="s">
        <v>277</v>
      </c>
    </row>
    <row r="7" spans="8:8">
      <c r="B7" s="8" t="s">
        <v>148</v>
      </c>
      <c r="C7" s="3" t="s">
        <v>329</v>
      </c>
      <c r="D7" s="3" t="s">
        <v>301</v>
      </c>
      <c r="E7" s="3" t="s">
        <v>334</v>
      </c>
    </row>
    <row r="8" spans="8:8">
      <c r="B8" s="3"/>
      <c r="C8" s="3" t="s">
        <v>331</v>
      </c>
      <c r="D8" s="3" t="s">
        <v>275</v>
      </c>
      <c r="E8" s="3" t="s">
        <v>305</v>
      </c>
    </row>
    <row r="9" spans="8:8">
      <c r="B9" s="3"/>
      <c r="C9" s="3" t="s">
        <v>333</v>
      </c>
      <c r="D9" s="3" t="s">
        <v>277</v>
      </c>
      <c r="E9" s="3" t="s">
        <v>307</v>
      </c>
    </row>
    <row r="10" spans="8:8">
      <c r="B10" s="8" t="s">
        <v>265</v>
      </c>
      <c r="C10" s="3" t="s">
        <v>329</v>
      </c>
      <c r="D10" s="3" t="s">
        <v>335</v>
      </c>
      <c r="E10" s="3" t="s">
        <v>336</v>
      </c>
    </row>
    <row r="11" spans="8:8">
      <c r="B11" s="3"/>
      <c r="C11" s="3" t="s">
        <v>331</v>
      </c>
      <c r="D11" s="3" t="s">
        <v>337</v>
      </c>
      <c r="E11" s="3" t="s">
        <v>338</v>
      </c>
    </row>
    <row r="12" spans="8:8">
      <c r="B12" s="3"/>
      <c r="C12" s="3" t="s">
        <v>333</v>
      </c>
      <c r="D12" s="3" t="s">
        <v>280</v>
      </c>
      <c r="E12" s="3" t="s">
        <v>339</v>
      </c>
    </row>
    <row r="13" spans="8:8">
      <c r="B13" s="8" t="s">
        <v>283</v>
      </c>
      <c r="C13" s="3" t="s">
        <v>329</v>
      </c>
      <c r="D13" s="3" t="s">
        <v>340</v>
      </c>
      <c r="E13" s="3" t="s">
        <v>314</v>
      </c>
    </row>
    <row r="14" spans="8:8">
      <c r="B14" s="3"/>
      <c r="C14" s="3" t="s">
        <v>331</v>
      </c>
      <c r="D14" s="3" t="s">
        <v>341</v>
      </c>
      <c r="E14" s="3" t="s">
        <v>318</v>
      </c>
    </row>
    <row r="15" spans="8:8">
      <c r="B15" s="3"/>
      <c r="C15" s="3" t="s">
        <v>333</v>
      </c>
      <c r="D15" s="3" t="s">
        <v>295</v>
      </c>
      <c r="E15" s="3" t="s">
        <v>342</v>
      </c>
    </row>
    <row r="16" spans="8:8">
      <c r="B16" s="8" t="s">
        <v>290</v>
      </c>
      <c r="C16" s="3" t="s">
        <v>329</v>
      </c>
      <c r="D16" s="3" t="s">
        <v>292</v>
      </c>
      <c r="E16" s="3" t="s">
        <v>343</v>
      </c>
    </row>
    <row r="17" spans="8:8">
      <c r="B17" s="3"/>
      <c r="C17" s="3" t="s">
        <v>331</v>
      </c>
      <c r="D17" s="3" t="s">
        <v>294</v>
      </c>
      <c r="E17" s="3" t="s">
        <v>344</v>
      </c>
    </row>
    <row r="18" spans="8:8">
      <c r="B18" s="3"/>
      <c r="C18" s="3" t="s">
        <v>333</v>
      </c>
      <c r="D18" s="3" t="s">
        <v>345</v>
      </c>
      <c r="E18" s="3" t="s">
        <v>315</v>
      </c>
    </row>
    <row r="20" spans="8:8">
      <c r="B20" s="46" t="s">
        <v>350</v>
      </c>
    </row>
    <row r="21" spans="8:8">
      <c r="B21" s="2" t="s">
        <v>136</v>
      </c>
      <c r="C21" s="2" t="s">
        <v>156</v>
      </c>
      <c r="D21" s="2" t="s">
        <v>146</v>
      </c>
      <c r="E21" s="2" t="s">
        <v>147</v>
      </c>
    </row>
    <row r="22" spans="8:8">
      <c r="B22" s="8" t="s">
        <v>152</v>
      </c>
      <c r="C22" s="3" t="s">
        <v>329</v>
      </c>
      <c r="D22" s="3" t="s">
        <v>276</v>
      </c>
      <c r="E22" s="3" t="s">
        <v>282</v>
      </c>
    </row>
    <row r="23" spans="8:8">
      <c r="B23" s="3"/>
      <c r="C23" s="3" t="s">
        <v>331</v>
      </c>
      <c r="D23" s="3" t="s">
        <v>304</v>
      </c>
      <c r="E23" s="3" t="s">
        <v>330</v>
      </c>
    </row>
    <row r="24" spans="8:8">
      <c r="B24" s="3"/>
      <c r="C24" s="3" t="s">
        <v>333</v>
      </c>
      <c r="D24" s="3" t="s">
        <v>303</v>
      </c>
      <c r="E24" s="3" t="s">
        <v>301</v>
      </c>
    </row>
    <row r="25" spans="8:8">
      <c r="B25" s="8" t="s">
        <v>148</v>
      </c>
      <c r="C25" s="3" t="s">
        <v>329</v>
      </c>
      <c r="D25" s="3" t="s">
        <v>288</v>
      </c>
      <c r="E25" s="3" t="s">
        <v>346</v>
      </c>
    </row>
    <row r="26" spans="8:8">
      <c r="B26" s="3"/>
      <c r="C26" s="3" t="s">
        <v>331</v>
      </c>
      <c r="D26" s="3" t="s">
        <v>282</v>
      </c>
      <c r="E26" s="3" t="s">
        <v>278</v>
      </c>
    </row>
    <row r="27" spans="8:8">
      <c r="B27" s="3"/>
      <c r="C27" s="3" t="s">
        <v>333</v>
      </c>
      <c r="D27" s="3" t="s">
        <v>309</v>
      </c>
      <c r="E27" s="3" t="s">
        <v>335</v>
      </c>
    </row>
    <row r="28" spans="8:8">
      <c r="B28" s="8" t="s">
        <v>265</v>
      </c>
      <c r="C28" s="3" t="s">
        <v>329</v>
      </c>
      <c r="D28" s="3" t="s">
        <v>347</v>
      </c>
      <c r="E28" s="3" t="s">
        <v>348</v>
      </c>
    </row>
    <row r="29" spans="8:8">
      <c r="B29" s="3"/>
      <c r="C29" s="3" t="s">
        <v>331</v>
      </c>
      <c r="D29" s="3" t="s">
        <v>308</v>
      </c>
      <c r="E29" s="3" t="s">
        <v>351</v>
      </c>
    </row>
    <row r="30" spans="8:8">
      <c r="B30" s="3"/>
      <c r="C30" s="3" t="s">
        <v>333</v>
      </c>
      <c r="D30" s="3" t="s">
        <v>346</v>
      </c>
      <c r="E30" s="3" t="s">
        <v>336</v>
      </c>
    </row>
    <row r="31" spans="8:8">
      <c r="B31" s="8" t="s">
        <v>283</v>
      </c>
      <c r="C31" s="3" t="s">
        <v>329</v>
      </c>
      <c r="D31" s="3" t="s">
        <v>342</v>
      </c>
      <c r="E31" s="3" t="s">
        <v>352</v>
      </c>
    </row>
    <row r="32" spans="8:8">
      <c r="B32" s="3"/>
      <c r="C32" s="3" t="s">
        <v>331</v>
      </c>
      <c r="D32" s="3" t="s">
        <v>353</v>
      </c>
      <c r="E32" s="3" t="s">
        <v>354</v>
      </c>
    </row>
    <row r="33" spans="8:8">
      <c r="B33" s="3"/>
      <c r="C33" s="3" t="s">
        <v>333</v>
      </c>
      <c r="D33" s="3" t="s">
        <v>355</v>
      </c>
      <c r="E33" s="3" t="s">
        <v>356</v>
      </c>
    </row>
    <row r="34" spans="8:8">
      <c r="B34" s="8" t="s">
        <v>290</v>
      </c>
      <c r="C34" s="3" t="s">
        <v>329</v>
      </c>
      <c r="D34" s="3" t="s">
        <v>357</v>
      </c>
      <c r="E34" s="3" t="s">
        <v>358</v>
      </c>
    </row>
    <row r="35" spans="8:8">
      <c r="B35" s="3"/>
      <c r="C35" s="3" t="s">
        <v>331</v>
      </c>
      <c r="D35" s="3" t="s">
        <v>359</v>
      </c>
      <c r="E35" s="3" t="s">
        <v>360</v>
      </c>
    </row>
    <row r="36" spans="8:8">
      <c r="B36" s="3"/>
      <c r="C36" s="3" t="s">
        <v>333</v>
      </c>
      <c r="D36" s="3" t="s">
        <v>361</v>
      </c>
      <c r="E36" s="3" t="s">
        <v>362</v>
      </c>
    </row>
    <row r="39" spans="8:8">
      <c r="B39" s="58" t="s">
        <v>363</v>
      </c>
      <c r="C39" s="58"/>
      <c r="D39" s="58"/>
      <c r="E39" s="13" t="s">
        <v>328</v>
      </c>
      <c r="F39" s="13"/>
      <c r="G39" s="13"/>
      <c r="H39" s="13"/>
    </row>
    <row r="40" spans="8:8">
      <c r="B40" s="59"/>
      <c r="C40" s="13"/>
      <c r="D40" s="13"/>
      <c r="E40" s="13"/>
      <c r="F40" s="13"/>
      <c r="G40" s="13"/>
      <c r="H40" s="13"/>
    </row>
    <row r="41" spans="8:8">
      <c r="B41" s="59" t="s">
        <v>365</v>
      </c>
      <c r="C41" s="13"/>
      <c r="D41" s="13"/>
      <c r="E41" s="13"/>
      <c r="F41" s="13"/>
      <c r="G41" s="13"/>
      <c r="H41" s="13"/>
    </row>
    <row r="42" spans="8:8">
      <c r="B42" s="59"/>
      <c r="C42" s="13"/>
      <c r="D42" s="13"/>
      <c r="E42" s="13"/>
      <c r="F42" s="13"/>
      <c r="G42" s="13"/>
      <c r="H42" s="13"/>
    </row>
    <row r="43" spans="8:8">
      <c r="B43" s="59"/>
      <c r="C43" s="13"/>
      <c r="D43" s="13"/>
      <c r="E43" s="13"/>
      <c r="F43" s="13"/>
      <c r="G43" s="13"/>
      <c r="H43" s="13"/>
    </row>
    <row r="44" spans="8:8">
      <c r="B44" s="13"/>
      <c r="C44" s="13"/>
      <c r="D44" s="13"/>
      <c r="E44" s="13"/>
      <c r="F44" s="13"/>
      <c r="G44" s="13"/>
      <c r="H44" s="13"/>
    </row>
    <row r="45" spans="8:8">
      <c r="B45" s="58" t="s">
        <v>364</v>
      </c>
      <c r="C45" s="58"/>
      <c r="D45" s="58"/>
      <c r="E45" s="13"/>
      <c r="F45" s="13"/>
      <c r="G45" s="13"/>
      <c r="H45" s="13"/>
    </row>
    <row r="46" spans="8:8">
      <c r="B46" s="59"/>
      <c r="C46" s="13"/>
      <c r="D46" s="13"/>
      <c r="E46" s="13"/>
      <c r="F46" s="13"/>
      <c r="G46" s="13"/>
      <c r="H46" s="13"/>
    </row>
    <row r="47" spans="8:8">
      <c r="B47" s="59"/>
      <c r="C47" s="13"/>
      <c r="D47" s="13"/>
      <c r="E47" s="13"/>
      <c r="F47" s="13"/>
      <c r="G47" s="13"/>
      <c r="H47" s="13"/>
    </row>
    <row r="48" spans="8:8">
      <c r="B48" s="59"/>
      <c r="C48" s="13"/>
      <c r="D48" s="13"/>
      <c r="E48" s="13"/>
      <c r="F48" s="13"/>
      <c r="G48" s="13"/>
      <c r="H48" s="13"/>
    </row>
    <row r="49" spans="8:8">
      <c r="B49" s="59"/>
      <c r="C49" s="13"/>
      <c r="D49" s="13"/>
      <c r="E49" s="13"/>
      <c r="F49" s="13"/>
      <c r="G49" s="13"/>
      <c r="H49" s="13"/>
    </row>
  </sheetData>
  <mergeCells count="2">
    <mergeCell ref="B39:D39"/>
    <mergeCell ref="B45:D45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sheetPr>
    <tabColor rgb="FFFFC000"/>
  </sheetPr>
  <dimension ref="B1:AN40"/>
  <sheetViews>
    <sheetView workbookViewId="0">
      <selection activeCell="B3" sqref="B3:E40"/>
    </sheetView>
  </sheetViews>
  <sheetFormatPr defaultRowHeight="15.0" defaultColWidth="10"/>
  <cols>
    <col min="4" max="4" customWidth="1" width="20.140625" style="0"/>
  </cols>
  <sheetData>
    <row r="3" spans="8:8" ht="30.0">
      <c r="B3" s="6" t="s">
        <v>136</v>
      </c>
      <c r="C3" s="6" t="s">
        <v>366</v>
      </c>
      <c r="D3" s="6" t="s">
        <v>156</v>
      </c>
      <c r="E3" s="6" t="s">
        <v>55</v>
      </c>
    </row>
    <row r="4" spans="8:8">
      <c r="B4" s="48" t="s">
        <v>152</v>
      </c>
      <c r="C4" s="49" t="s">
        <v>367</v>
      </c>
      <c r="D4" s="50" t="s">
        <v>489</v>
      </c>
      <c r="E4" s="52">
        <v>2200.0</v>
      </c>
      <c r="F4" s="16"/>
    </row>
    <row r="5" spans="8:8">
      <c r="B5" s="49"/>
      <c r="C5" s="49"/>
      <c r="D5" s="53">
        <v>16.0</v>
      </c>
      <c r="E5" s="52">
        <v>1700.0</v>
      </c>
      <c r="F5" s="16"/>
    </row>
    <row r="6" spans="8:8">
      <c r="B6" s="49"/>
      <c r="C6" s="49"/>
      <c r="D6" s="53" t="s">
        <v>488</v>
      </c>
      <c r="E6" s="52">
        <v>1500.0</v>
      </c>
      <c r="F6" s="16"/>
    </row>
    <row r="7" spans="8:8">
      <c r="B7" s="49"/>
      <c r="C7" s="49"/>
      <c r="D7" s="53" t="s">
        <v>487</v>
      </c>
      <c r="E7" s="52">
        <v>1300.0</v>
      </c>
      <c r="F7" s="16"/>
    </row>
    <row r="8" spans="8:8">
      <c r="B8" s="49"/>
      <c r="C8" s="49"/>
      <c r="D8" s="53" t="s">
        <v>486</v>
      </c>
      <c r="E8" s="52">
        <v>1200.0</v>
      </c>
      <c r="F8" s="16"/>
    </row>
    <row r="9" spans="8:8">
      <c r="B9" s="49"/>
      <c r="C9" s="49"/>
      <c r="D9" s="54" t="s">
        <v>490</v>
      </c>
      <c r="E9" s="56">
        <v>1000.0</v>
      </c>
      <c r="F9" s="16"/>
    </row>
    <row r="10" spans="8:8">
      <c r="B10" s="48" t="s">
        <v>148</v>
      </c>
      <c r="C10" s="49" t="s">
        <v>368</v>
      </c>
      <c r="D10" s="50" t="s">
        <v>485</v>
      </c>
      <c r="E10" s="52">
        <v>4000.0</v>
      </c>
      <c r="F10" s="16"/>
    </row>
    <row r="11" spans="8:8">
      <c r="B11" s="49"/>
      <c r="C11" s="49"/>
      <c r="D11" s="53">
        <v>8.0</v>
      </c>
      <c r="E11" s="52">
        <v>3200.0</v>
      </c>
      <c r="F11" s="16"/>
    </row>
    <row r="12" spans="8:8">
      <c r="B12" s="49"/>
      <c r="C12" s="49"/>
      <c r="D12" s="53" t="s">
        <v>484</v>
      </c>
      <c r="E12" s="52">
        <v>2700.0</v>
      </c>
      <c r="F12" s="16"/>
    </row>
    <row r="13" spans="8:8">
      <c r="B13" s="49"/>
      <c r="C13" s="49"/>
      <c r="D13" s="53" t="s">
        <v>483</v>
      </c>
      <c r="E13" s="52">
        <v>2500.0</v>
      </c>
      <c r="F13" s="16"/>
    </row>
    <row r="14" spans="8:8">
      <c r="B14" s="49"/>
      <c r="C14" s="49"/>
      <c r="D14" s="53" t="s">
        <v>482</v>
      </c>
      <c r="E14" s="52">
        <v>2200.0</v>
      </c>
      <c r="F14" s="16"/>
    </row>
    <row r="15" spans="8:8">
      <c r="B15" s="49"/>
      <c r="C15" s="49"/>
      <c r="D15" s="54" t="s">
        <v>490</v>
      </c>
      <c r="E15" s="56">
        <v>1800.0</v>
      </c>
      <c r="F15" s="16"/>
    </row>
    <row r="16" spans="8:8">
      <c r="B16" s="48" t="s">
        <v>265</v>
      </c>
      <c r="C16" s="49" t="s">
        <v>369</v>
      </c>
      <c r="D16" s="50" t="s">
        <v>481</v>
      </c>
      <c r="E16" s="52">
        <v>7000.0</v>
      </c>
      <c r="F16" s="16"/>
    </row>
    <row r="17" spans="8:8">
      <c r="B17" s="48"/>
      <c r="C17" s="49"/>
      <c r="D17" s="53">
        <v>4.0</v>
      </c>
      <c r="E17" s="52">
        <v>6000.0</v>
      </c>
      <c r="F17" s="16"/>
    </row>
    <row r="18" spans="8:8">
      <c r="B18" s="48"/>
      <c r="C18" s="49"/>
      <c r="D18" s="53" t="s">
        <v>480</v>
      </c>
      <c r="E18" s="52">
        <v>5000.0</v>
      </c>
      <c r="F18" s="16"/>
    </row>
    <row r="19" spans="8:8">
      <c r="B19" s="49"/>
      <c r="C19" s="49"/>
      <c r="D19" s="53" t="s">
        <v>479</v>
      </c>
      <c r="E19" s="52">
        <v>4500.0</v>
      </c>
      <c r="F19" s="16"/>
    </row>
    <row r="20" spans="8:8">
      <c r="B20" s="49"/>
      <c r="C20" s="49"/>
      <c r="D20" s="53" t="s">
        <v>478</v>
      </c>
      <c r="E20" s="52">
        <v>4000.0</v>
      </c>
      <c r="F20" s="16"/>
    </row>
    <row r="21" spans="8:8">
      <c r="B21" s="49"/>
      <c r="C21" s="49"/>
      <c r="D21" s="54" t="s">
        <v>490</v>
      </c>
      <c r="E21" s="56">
        <v>3500.0</v>
      </c>
      <c r="F21" s="16"/>
    </row>
    <row r="22" spans="8:8">
      <c r="B22" s="48" t="s">
        <v>283</v>
      </c>
      <c r="C22" s="49" t="s">
        <v>370</v>
      </c>
      <c r="D22" s="50">
        <v>1.0</v>
      </c>
      <c r="E22" s="52">
        <v>12000.0</v>
      </c>
      <c r="F22" s="16"/>
    </row>
    <row r="23" spans="8:8">
      <c r="B23" s="48"/>
      <c r="C23" s="49"/>
      <c r="D23" s="53">
        <v>2.0</v>
      </c>
      <c r="E23" s="52">
        <v>10000.0</v>
      </c>
      <c r="F23" s="16"/>
    </row>
    <row r="24" spans="8:8">
      <c r="B24" s="48"/>
      <c r="C24" s="49"/>
      <c r="D24" s="53" t="s">
        <v>475</v>
      </c>
      <c r="E24" s="52">
        <v>9000.0</v>
      </c>
      <c r="F24" s="16"/>
    </row>
    <row r="25" spans="8:8">
      <c r="B25" s="49"/>
      <c r="C25" s="49"/>
      <c r="D25" s="53" t="s">
        <v>476</v>
      </c>
      <c r="E25" s="52">
        <v>8000.0</v>
      </c>
      <c r="F25" s="16"/>
    </row>
    <row r="26" spans="8:8">
      <c r="B26" s="49"/>
      <c r="C26" s="49"/>
      <c r="D26" s="53" t="s">
        <v>477</v>
      </c>
      <c r="E26" s="52">
        <v>7000.0</v>
      </c>
      <c r="F26" s="16"/>
    </row>
    <row r="27" spans="8:8">
      <c r="B27" s="49"/>
      <c r="C27" s="49"/>
      <c r="D27" s="54" t="s">
        <v>490</v>
      </c>
      <c r="E27" s="56">
        <v>6500.0</v>
      </c>
      <c r="F27" s="16"/>
    </row>
    <row r="28" spans="8:8" ht="17.25">
      <c r="B28" s="48" t="s">
        <v>492</v>
      </c>
      <c r="C28" s="49" t="s">
        <v>371</v>
      </c>
      <c r="D28" s="53">
        <v>1.0</v>
      </c>
      <c r="E28" s="52">
        <v>20000.0</v>
      </c>
      <c r="F28" s="16"/>
    </row>
    <row r="29" spans="8:8">
      <c r="B29" s="48"/>
      <c r="C29" s="49"/>
      <c r="D29" s="57" t="s">
        <v>472</v>
      </c>
      <c r="E29" s="52">
        <v>17000.0</v>
      </c>
      <c r="F29" s="16"/>
    </row>
    <row r="30" spans="8:8">
      <c r="B30" s="49"/>
      <c r="C30" s="49"/>
      <c r="D30" s="57" t="s">
        <v>473</v>
      </c>
      <c r="E30" s="52">
        <v>15000.0</v>
      </c>
      <c r="F30" s="16"/>
    </row>
    <row r="31" spans="8:8">
      <c r="B31" s="49"/>
      <c r="C31" s="49"/>
      <c r="D31" s="57" t="s">
        <v>474</v>
      </c>
      <c r="E31" s="52">
        <v>13000.0</v>
      </c>
      <c r="F31" s="16"/>
    </row>
    <row r="32" spans="8:8">
      <c r="D32" s="54" t="s">
        <v>490</v>
      </c>
      <c r="E32" s="56">
        <v>12000.0</v>
      </c>
    </row>
    <row r="35" spans="8:8">
      <c r="B35" s="58" t="s">
        <v>372</v>
      </c>
      <c r="C35" s="58"/>
      <c r="D35" s="58"/>
      <c r="E35" s="13" t="s">
        <v>328</v>
      </c>
    </row>
    <row r="36" spans="8:8">
      <c r="B36" s="59"/>
      <c r="C36" s="13"/>
      <c r="D36" s="13"/>
      <c r="E36" s="13"/>
    </row>
    <row r="37" spans="8:8">
      <c r="B37" s="60" t="s">
        <v>373</v>
      </c>
      <c r="C37" s="60"/>
      <c r="D37" s="60"/>
      <c r="E37" s="60"/>
    </row>
    <row r="38" spans="8:8">
      <c r="B38" s="59"/>
      <c r="C38" s="13"/>
      <c r="D38" s="13"/>
      <c r="E38" s="13"/>
    </row>
    <row r="40" spans="8:8">
      <c r="B40" s="61" t="s">
        <v>491</v>
      </c>
      <c r="C40" s="61"/>
      <c r="D40" s="61"/>
      <c r="E40" s="61"/>
    </row>
  </sheetData>
  <mergeCells count="3">
    <mergeCell ref="B35:D35"/>
    <mergeCell ref="B37:E37"/>
    <mergeCell ref="B40:E40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sheetPr>
    <tabColor rgb="FFFFC000"/>
  </sheetPr>
  <dimension ref="B1:AN40"/>
  <sheetViews>
    <sheetView workbookViewId="0" topLeftCell="A10">
      <selection activeCell="A26" sqref="A26"/>
    </sheetView>
  </sheetViews>
  <sheetFormatPr defaultRowHeight="15.0" defaultColWidth="10"/>
  <cols>
    <col min="4" max="4" customWidth="1" width="20.140625" style="0"/>
    <col min="6" max="6" customWidth="1" bestFit="1" width="13.0" style="0"/>
  </cols>
  <sheetData>
    <row r="3" spans="8:8" ht="30.0">
      <c r="B3" s="6" t="s">
        <v>136</v>
      </c>
      <c r="C3" s="6" t="s">
        <v>366</v>
      </c>
      <c r="D3" s="6" t="s">
        <v>156</v>
      </c>
      <c r="E3" s="6" t="s">
        <v>55</v>
      </c>
      <c r="F3" s="6" t="s">
        <v>496</v>
      </c>
    </row>
    <row r="4" spans="8:8">
      <c r="B4" s="48" t="s">
        <v>152</v>
      </c>
      <c r="C4" s="49" t="s">
        <v>367</v>
      </c>
      <c r="D4" s="50" t="s">
        <v>489</v>
      </c>
      <c r="E4" s="52">
        <v>2200.0</v>
      </c>
      <c r="F4" t="s">
        <v>497</v>
      </c>
    </row>
    <row r="5" spans="8:8">
      <c r="B5" s="49"/>
      <c r="C5" s="49"/>
      <c r="D5" s="53">
        <v>16.0</v>
      </c>
      <c r="E5" s="52">
        <v>1700.0</v>
      </c>
    </row>
    <row r="6" spans="8:8">
      <c r="B6" s="49"/>
      <c r="C6" s="49"/>
      <c r="D6" s="53" t="s">
        <v>488</v>
      </c>
      <c r="E6" s="52">
        <v>1500.0</v>
      </c>
    </row>
    <row r="7" spans="8:8">
      <c r="B7" s="49"/>
      <c r="C7" s="49"/>
      <c r="D7" s="53" t="s">
        <v>487</v>
      </c>
      <c r="E7" s="52">
        <v>1300.0</v>
      </c>
    </row>
    <row r="8" spans="8:8">
      <c r="B8" s="49"/>
      <c r="C8" s="49"/>
      <c r="D8" s="53" t="s">
        <v>486</v>
      </c>
      <c r="E8" s="52">
        <v>1200.0</v>
      </c>
    </row>
    <row r="9" spans="8:8">
      <c r="B9" s="49"/>
      <c r="C9" s="49"/>
      <c r="D9" s="54" t="s">
        <v>490</v>
      </c>
      <c r="E9" s="56">
        <v>1000.0</v>
      </c>
    </row>
    <row r="10" spans="8:8">
      <c r="B10" s="48" t="s">
        <v>148</v>
      </c>
      <c r="C10" s="49" t="s">
        <v>368</v>
      </c>
      <c r="D10" s="50" t="s">
        <v>485</v>
      </c>
      <c r="E10" s="52">
        <v>4000.0</v>
      </c>
      <c r="F10" t="s">
        <v>497</v>
      </c>
    </row>
    <row r="11" spans="8:8">
      <c r="B11" s="49"/>
      <c r="C11" s="49"/>
      <c r="D11" s="53">
        <v>8.0</v>
      </c>
      <c r="E11" s="52">
        <v>3200.0</v>
      </c>
    </row>
    <row r="12" spans="8:8">
      <c r="B12" s="49"/>
      <c r="C12" s="49"/>
      <c r="D12" s="53" t="s">
        <v>484</v>
      </c>
      <c r="E12" s="52">
        <v>2700.0</v>
      </c>
    </row>
    <row r="13" spans="8:8">
      <c r="B13" s="49"/>
      <c r="C13" s="49"/>
      <c r="D13" s="53" t="s">
        <v>483</v>
      </c>
      <c r="E13" s="52">
        <v>2500.0</v>
      </c>
    </row>
    <row r="14" spans="8:8">
      <c r="B14" s="49"/>
      <c r="C14" s="49"/>
      <c r="D14" s="53" t="s">
        <v>482</v>
      </c>
      <c r="E14" s="52">
        <v>2200.0</v>
      </c>
    </row>
    <row r="15" spans="8:8">
      <c r="B15" s="49"/>
      <c r="C15" s="49"/>
      <c r="D15" s="54" t="s">
        <v>490</v>
      </c>
      <c r="E15" s="56">
        <v>1800.0</v>
      </c>
    </row>
    <row r="16" spans="8:8">
      <c r="B16" s="48" t="s">
        <v>265</v>
      </c>
      <c r="C16" s="49" t="s">
        <v>369</v>
      </c>
      <c r="D16" s="50" t="s">
        <v>481</v>
      </c>
      <c r="E16" s="52">
        <v>7000.0</v>
      </c>
      <c r="F16" t="s">
        <v>493</v>
      </c>
    </row>
    <row r="17" spans="8:8">
      <c r="B17" s="48"/>
      <c r="C17" s="49"/>
      <c r="D17" s="53">
        <v>4.0</v>
      </c>
      <c r="E17" s="52">
        <v>6000.0</v>
      </c>
    </row>
    <row r="18" spans="8:8">
      <c r="B18" s="48"/>
      <c r="C18" s="49"/>
      <c r="D18" s="53" t="s">
        <v>480</v>
      </c>
      <c r="E18" s="52">
        <v>5000.0</v>
      </c>
    </row>
    <row r="19" spans="8:8">
      <c r="B19" s="49"/>
      <c r="C19" s="49"/>
      <c r="D19" s="53" t="s">
        <v>479</v>
      </c>
      <c r="E19" s="52">
        <v>4500.0</v>
      </c>
    </row>
    <row r="20" spans="8:8">
      <c r="B20" s="49"/>
      <c r="C20" s="49"/>
      <c r="D20" s="53" t="s">
        <v>478</v>
      </c>
      <c r="E20" s="52">
        <v>4000.0</v>
      </c>
    </row>
    <row r="21" spans="8:8">
      <c r="B21" s="49"/>
      <c r="C21" s="49"/>
      <c r="D21" s="54" t="s">
        <v>490</v>
      </c>
      <c r="E21" s="56">
        <v>3500.0</v>
      </c>
    </row>
    <row r="22" spans="8:8">
      <c r="B22" s="48" t="s">
        <v>283</v>
      </c>
      <c r="C22" s="49" t="s">
        <v>370</v>
      </c>
      <c r="D22" s="50">
        <v>1.0</v>
      </c>
      <c r="E22" s="52">
        <v>12000.0</v>
      </c>
      <c r="F22" t="s">
        <v>493</v>
      </c>
    </row>
    <row r="23" spans="8:8">
      <c r="B23" s="48"/>
      <c r="C23" s="49"/>
      <c r="D23" s="53">
        <v>2.0</v>
      </c>
      <c r="E23" s="52">
        <v>10000.0</v>
      </c>
    </row>
    <row r="24" spans="8:8">
      <c r="B24" s="48"/>
      <c r="C24" s="49"/>
      <c r="D24" s="53" t="s">
        <v>475</v>
      </c>
      <c r="E24" s="52">
        <v>9000.0</v>
      </c>
    </row>
    <row r="25" spans="8:8">
      <c r="B25" s="49"/>
      <c r="C25" s="49"/>
      <c r="D25" s="53" t="s">
        <v>476</v>
      </c>
      <c r="E25" s="52">
        <v>8000.0</v>
      </c>
    </row>
    <row r="26" spans="8:8">
      <c r="B26" s="49"/>
      <c r="C26" s="49"/>
      <c r="D26" s="53" t="s">
        <v>477</v>
      </c>
      <c r="E26" s="52">
        <v>7000.0</v>
      </c>
    </row>
    <row r="27" spans="8:8">
      <c r="B27" s="49"/>
      <c r="C27" s="49"/>
      <c r="D27" s="54" t="s">
        <v>490</v>
      </c>
      <c r="E27" s="56">
        <v>6500.0</v>
      </c>
    </row>
    <row r="28" spans="8:8" ht="17.25">
      <c r="B28" s="48" t="s">
        <v>492</v>
      </c>
      <c r="C28" s="49" t="s">
        <v>371</v>
      </c>
      <c r="D28" s="53">
        <v>1.0</v>
      </c>
      <c r="E28" s="52">
        <v>20000.0</v>
      </c>
      <c r="F28" t="s">
        <v>493</v>
      </c>
    </row>
    <row r="29" spans="8:8">
      <c r="B29" s="48"/>
      <c r="C29" s="49"/>
      <c r="D29" s="57" t="s">
        <v>472</v>
      </c>
      <c r="E29" s="52">
        <v>17000.0</v>
      </c>
      <c r="F29" t="s">
        <v>494</v>
      </c>
    </row>
    <row r="30" spans="8:8">
      <c r="B30" s="49"/>
      <c r="C30" s="49"/>
      <c r="D30" s="57" t="s">
        <v>473</v>
      </c>
      <c r="E30" s="52">
        <v>15000.0</v>
      </c>
      <c r="F30" t="s">
        <v>495</v>
      </c>
    </row>
    <row r="31" spans="8:8">
      <c r="B31" s="49"/>
      <c r="C31" s="49"/>
      <c r="D31" s="57" t="s">
        <v>474</v>
      </c>
      <c r="E31" s="52">
        <v>13000.0</v>
      </c>
    </row>
    <row r="32" spans="8:8">
      <c r="D32" s="54" t="s">
        <v>490</v>
      </c>
      <c r="E32" s="56">
        <v>12000.0</v>
      </c>
    </row>
    <row r="35" spans="8:8">
      <c r="B35" s="58" t="s">
        <v>372</v>
      </c>
      <c r="C35" s="58"/>
      <c r="D35" s="58"/>
      <c r="E35" s="13" t="s">
        <v>328</v>
      </c>
    </row>
    <row r="36" spans="8:8">
      <c r="B36" s="59"/>
      <c r="C36" s="13"/>
      <c r="D36" s="13"/>
      <c r="E36" s="13"/>
    </row>
    <row r="37" spans="8:8">
      <c r="B37" s="60" t="s">
        <v>373</v>
      </c>
      <c r="C37" s="60"/>
      <c r="D37" s="60"/>
      <c r="E37" s="60"/>
    </row>
    <row r="38" spans="8:8">
      <c r="B38" s="59"/>
      <c r="C38" s="13"/>
      <c r="D38" s="13"/>
      <c r="E38" s="13"/>
    </row>
    <row r="40" spans="8:8">
      <c r="B40" s="61" t="s">
        <v>491</v>
      </c>
      <c r="C40" s="61"/>
      <c r="D40" s="61"/>
      <c r="E40" s="61"/>
    </row>
  </sheetData>
  <mergeCells count="3">
    <mergeCell ref="B35:D35"/>
    <mergeCell ref="B37:E37"/>
    <mergeCell ref="B40:E40"/>
  </mergeCells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sheetPr>
    <tabColor rgb="FFFFC000"/>
  </sheetPr>
  <dimension ref="B1:AM17"/>
  <sheetViews>
    <sheetView workbookViewId="0">
      <selection activeCell="A4" sqref="A4:F17"/>
    </sheetView>
  </sheetViews>
  <sheetFormatPr defaultRowHeight="15.0" defaultColWidth="10"/>
  <cols>
    <col min="2" max="2" customWidth="1" width="22.140625" style="0"/>
    <col min="3" max="3" customWidth="1" width="21.570312" style="0"/>
    <col min="4" max="4" customWidth="1" width="20.140625" style="0"/>
  </cols>
  <sheetData>
    <row r="3" spans="8:8">
      <c r="B3" s="6"/>
      <c r="C3" s="6"/>
      <c r="D3" s="6"/>
      <c r="E3" s="6"/>
    </row>
    <row r="4" spans="8:8">
      <c r="B4" s="6" t="s">
        <v>136</v>
      </c>
      <c r="C4" s="6" t="s">
        <v>366</v>
      </c>
      <c r="D4" s="6" t="s">
        <v>156</v>
      </c>
      <c r="E4" s="6" t="s">
        <v>55</v>
      </c>
    </row>
    <row r="5" spans="8:8" ht="17.25">
      <c r="B5" s="48" t="s">
        <v>492</v>
      </c>
      <c r="C5" s="49" t="s">
        <v>371</v>
      </c>
      <c r="D5" s="53">
        <v>1.0</v>
      </c>
      <c r="E5" s="52">
        <v>30000.0</v>
      </c>
    </row>
    <row r="6" spans="8:8">
      <c r="B6" s="48"/>
      <c r="C6" s="49"/>
      <c r="D6" s="57" t="s">
        <v>472</v>
      </c>
      <c r="E6" s="52">
        <v>28000.0</v>
      </c>
    </row>
    <row r="7" spans="8:8">
      <c r="B7" s="49"/>
      <c r="C7" s="49"/>
      <c r="D7" s="57" t="s">
        <v>473</v>
      </c>
      <c r="E7" s="52">
        <v>25000.0</v>
      </c>
    </row>
    <row r="8" spans="8:8">
      <c r="B8" s="49"/>
      <c r="C8" s="49"/>
      <c r="D8" s="57" t="s">
        <v>474</v>
      </c>
      <c r="E8" s="52">
        <v>22000.0</v>
      </c>
    </row>
    <row r="9" spans="8:8">
      <c r="D9" s="54" t="s">
        <v>490</v>
      </c>
      <c r="E9" s="56">
        <v>20000.0</v>
      </c>
    </row>
    <row r="12" spans="8:8">
      <c r="B12" s="66" t="s">
        <v>372</v>
      </c>
      <c r="C12" s="66"/>
      <c r="D12" s="66"/>
      <c r="E12" s="13" t="s">
        <v>328</v>
      </c>
    </row>
    <row r="13" spans="8:8">
      <c r="B13" s="59"/>
      <c r="C13" s="13"/>
      <c r="D13" s="13"/>
      <c r="E13" s="13"/>
    </row>
    <row r="14" spans="8:8">
      <c r="B14" s="67" t="s">
        <v>373</v>
      </c>
      <c r="C14" s="67"/>
      <c r="D14" s="67"/>
      <c r="E14" s="67"/>
    </row>
    <row r="15" spans="8:8">
      <c r="B15" s="59"/>
      <c r="C15" s="13"/>
      <c r="D15" s="13"/>
      <c r="E15" s="13"/>
    </row>
    <row r="17" spans="8:8" ht="45.0">
      <c r="B17" s="68" t="s">
        <v>491</v>
      </c>
      <c r="C17" s="68"/>
      <c r="D17" s="68"/>
      <c r="E17" s="68"/>
    </row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sheetPr>
    <tabColor rgb="FFFFC000"/>
  </sheetPr>
  <dimension ref="B1:AN40"/>
  <sheetViews>
    <sheetView workbookViewId="0" zoomScale="115">
      <selection activeCell="B3" sqref="B3:F40"/>
    </sheetView>
  </sheetViews>
  <sheetFormatPr defaultRowHeight="15.0" defaultColWidth="10"/>
  <cols>
    <col min="4" max="4" customWidth="1" width="20.140625" style="0"/>
  </cols>
  <sheetData>
    <row r="3" spans="8:8" ht="45.0">
      <c r="B3" s="6" t="s">
        <v>136</v>
      </c>
      <c r="C3" s="6" t="s">
        <v>366</v>
      </c>
      <c r="D3" s="6" t="s">
        <v>156</v>
      </c>
      <c r="E3" s="47" t="s">
        <v>498</v>
      </c>
      <c r="F3" s="6" t="s">
        <v>499</v>
      </c>
    </row>
    <row r="4" spans="8:8">
      <c r="B4" s="48" t="s">
        <v>152</v>
      </c>
      <c r="C4" s="49" t="s">
        <v>367</v>
      </c>
      <c r="D4" s="50" t="s">
        <v>489</v>
      </c>
      <c r="E4" s="51">
        <v>2200.0</v>
      </c>
      <c r="F4" s="52">
        <v>2500.0</v>
      </c>
    </row>
    <row r="5" spans="8:8">
      <c r="B5" s="49"/>
      <c r="C5" s="49"/>
      <c r="D5" s="53">
        <v>16.0</v>
      </c>
      <c r="E5" s="51">
        <v>1700.0</v>
      </c>
      <c r="F5" s="52">
        <v>2000.0</v>
      </c>
    </row>
    <row r="6" spans="8:8">
      <c r="B6" s="49"/>
      <c r="C6" s="49"/>
      <c r="D6" s="53" t="s">
        <v>488</v>
      </c>
      <c r="E6" s="51">
        <v>1500.0</v>
      </c>
      <c r="F6" s="52">
        <v>1700.0</v>
      </c>
    </row>
    <row r="7" spans="8:8">
      <c r="B7" s="49"/>
      <c r="C7" s="49"/>
      <c r="D7" s="53" t="s">
        <v>487</v>
      </c>
      <c r="E7" s="51">
        <v>1300.0</v>
      </c>
      <c r="F7" s="52">
        <v>1500.0</v>
      </c>
    </row>
    <row r="8" spans="8:8">
      <c r="B8" s="49"/>
      <c r="C8" s="49"/>
      <c r="D8" s="53" t="s">
        <v>486</v>
      </c>
      <c r="E8" s="51">
        <v>1200.0</v>
      </c>
      <c r="F8" s="52">
        <v>1300.0</v>
      </c>
    </row>
    <row r="9" spans="8:8">
      <c r="B9" s="49"/>
      <c r="C9" s="49"/>
      <c r="D9" s="54" t="s">
        <v>490</v>
      </c>
      <c r="E9" s="55">
        <v>1000.0</v>
      </c>
      <c r="F9" s="56">
        <v>1200.0</v>
      </c>
    </row>
    <row r="10" spans="8:8">
      <c r="B10" s="48" t="s">
        <v>148</v>
      </c>
      <c r="C10" s="49" t="s">
        <v>368</v>
      </c>
      <c r="D10" s="50" t="s">
        <v>485</v>
      </c>
      <c r="E10" s="51">
        <v>4000.0</v>
      </c>
      <c r="F10" s="52">
        <v>4200.0</v>
      </c>
    </row>
    <row r="11" spans="8:8">
      <c r="B11" s="49"/>
      <c r="C11" s="49"/>
      <c r="D11" s="53">
        <v>8.0</v>
      </c>
      <c r="E11" s="51">
        <v>3200.0</v>
      </c>
      <c r="F11" s="52">
        <v>3500.0</v>
      </c>
    </row>
    <row r="12" spans="8:8">
      <c r="B12" s="49"/>
      <c r="C12" s="49"/>
      <c r="D12" s="53" t="s">
        <v>484</v>
      </c>
      <c r="E12" s="51">
        <v>2700.0</v>
      </c>
      <c r="F12" s="52">
        <v>3000.0</v>
      </c>
    </row>
    <row r="13" spans="8:8">
      <c r="B13" s="49"/>
      <c r="C13" s="49"/>
      <c r="D13" s="53" t="s">
        <v>483</v>
      </c>
      <c r="E13" s="51">
        <v>2500.0</v>
      </c>
      <c r="F13" s="52">
        <v>2700.0</v>
      </c>
    </row>
    <row r="14" spans="8:8">
      <c r="B14" s="49"/>
      <c r="C14" s="49"/>
      <c r="D14" s="53" t="s">
        <v>482</v>
      </c>
      <c r="E14" s="51">
        <v>2200.0</v>
      </c>
      <c r="F14" s="52">
        <v>2500.0</v>
      </c>
    </row>
    <row r="15" spans="8:8">
      <c r="B15" s="49"/>
      <c r="C15" s="49"/>
      <c r="D15" s="54" t="s">
        <v>490</v>
      </c>
      <c r="E15" s="55">
        <v>1800.0</v>
      </c>
      <c r="F15" s="56">
        <v>2000.0</v>
      </c>
    </row>
    <row r="16" spans="8:8">
      <c r="B16" s="48" t="s">
        <v>265</v>
      </c>
      <c r="C16" s="49" t="s">
        <v>369</v>
      </c>
      <c r="D16" s="50" t="s">
        <v>481</v>
      </c>
      <c r="E16" s="51">
        <v>7000.0</v>
      </c>
      <c r="F16" s="52">
        <v>7500.0</v>
      </c>
    </row>
    <row r="17" spans="8:8">
      <c r="B17" s="48"/>
      <c r="C17" s="49"/>
      <c r="D17" s="53">
        <v>4.0</v>
      </c>
      <c r="E17" s="51">
        <v>6000.0</v>
      </c>
      <c r="F17" s="52">
        <v>6500.0</v>
      </c>
    </row>
    <row r="18" spans="8:8">
      <c r="B18" s="48"/>
      <c r="C18" s="49"/>
      <c r="D18" s="53" t="s">
        <v>480</v>
      </c>
      <c r="E18" s="51">
        <v>5000.0</v>
      </c>
      <c r="F18" s="52">
        <v>5500.0</v>
      </c>
    </row>
    <row r="19" spans="8:8">
      <c r="B19" s="49"/>
      <c r="C19" s="49"/>
      <c r="D19" s="53" t="s">
        <v>479</v>
      </c>
      <c r="E19" s="51">
        <v>4500.0</v>
      </c>
      <c r="F19" s="52">
        <v>5000.0</v>
      </c>
    </row>
    <row r="20" spans="8:8">
      <c r="B20" s="49"/>
      <c r="C20" s="49"/>
      <c r="D20" s="53" t="s">
        <v>478</v>
      </c>
      <c r="E20" s="51">
        <v>4000.0</v>
      </c>
      <c r="F20" s="52">
        <v>4500.0</v>
      </c>
    </row>
    <row r="21" spans="8:8">
      <c r="B21" s="49"/>
      <c r="C21" s="49"/>
      <c r="D21" s="54" t="s">
        <v>490</v>
      </c>
      <c r="E21" s="55">
        <v>3500.0</v>
      </c>
      <c r="F21" s="56">
        <v>3500.0</v>
      </c>
    </row>
    <row r="22" spans="8:8">
      <c r="B22" s="48" t="s">
        <v>283</v>
      </c>
      <c r="C22" s="49" t="s">
        <v>370</v>
      </c>
      <c r="D22" s="50">
        <v>1.0</v>
      </c>
      <c r="E22" s="51">
        <v>12000.0</v>
      </c>
      <c r="F22" s="52">
        <v>13000.0</v>
      </c>
    </row>
    <row r="23" spans="8:8">
      <c r="B23" s="48"/>
      <c r="C23" s="49"/>
      <c r="D23" s="53">
        <v>2.0</v>
      </c>
      <c r="E23" s="51">
        <v>10000.0</v>
      </c>
      <c r="F23" s="52">
        <v>11000.0</v>
      </c>
    </row>
    <row r="24" spans="8:8">
      <c r="B24" s="48"/>
      <c r="C24" s="49"/>
      <c r="D24" s="53" t="s">
        <v>475</v>
      </c>
      <c r="E24" s="51">
        <v>9000.0</v>
      </c>
      <c r="F24" s="52">
        <v>9500.0</v>
      </c>
    </row>
    <row r="25" spans="8:8">
      <c r="B25" s="49"/>
      <c r="C25" s="49"/>
      <c r="D25" s="53" t="s">
        <v>476</v>
      </c>
      <c r="E25" s="51">
        <v>8000.0</v>
      </c>
      <c r="F25" s="52">
        <v>8500.0</v>
      </c>
    </row>
    <row r="26" spans="8:8">
      <c r="B26" s="49"/>
      <c r="C26" s="49"/>
      <c r="D26" s="53" t="s">
        <v>477</v>
      </c>
      <c r="E26" s="51">
        <v>7000.0</v>
      </c>
      <c r="F26" s="52">
        <v>7500.0</v>
      </c>
    </row>
    <row r="27" spans="8:8">
      <c r="B27" s="49"/>
      <c r="C27" s="49"/>
      <c r="D27" s="54" t="s">
        <v>490</v>
      </c>
      <c r="E27" s="55">
        <v>6500.0</v>
      </c>
      <c r="F27" s="56">
        <v>6500.0</v>
      </c>
    </row>
    <row r="28" spans="8:8" ht="17.25">
      <c r="B28" s="48" t="s">
        <v>492</v>
      </c>
      <c r="C28" s="49" t="s">
        <v>371</v>
      </c>
      <c r="D28" s="53">
        <v>1.0</v>
      </c>
      <c r="E28" s="51">
        <v>20000.0</v>
      </c>
      <c r="F28" s="52">
        <v>22000.0</v>
      </c>
    </row>
    <row r="29" spans="8:8">
      <c r="B29" s="48"/>
      <c r="C29" s="49"/>
      <c r="D29" s="57" t="s">
        <v>472</v>
      </c>
      <c r="E29" s="51">
        <v>17000.0</v>
      </c>
      <c r="F29" s="52">
        <v>18000.0</v>
      </c>
    </row>
    <row r="30" spans="8:8">
      <c r="B30" s="49"/>
      <c r="C30" s="49"/>
      <c r="D30" s="57" t="s">
        <v>473</v>
      </c>
      <c r="E30" s="51">
        <v>15000.0</v>
      </c>
      <c r="F30" s="52">
        <v>16000.0</v>
      </c>
    </row>
    <row r="31" spans="8:8">
      <c r="B31" s="49"/>
      <c r="C31" s="49"/>
      <c r="D31" s="57" t="s">
        <v>474</v>
      </c>
      <c r="E31" s="51">
        <v>13000.0</v>
      </c>
      <c r="F31" s="52">
        <v>14000.0</v>
      </c>
    </row>
    <row r="32" spans="8:8">
      <c r="D32" s="54" t="s">
        <v>490</v>
      </c>
      <c r="E32" s="55">
        <v>12000.0</v>
      </c>
      <c r="F32" s="56">
        <v>13000.0</v>
      </c>
    </row>
    <row r="35" spans="8:8">
      <c r="B35" s="58" t="s">
        <v>372</v>
      </c>
      <c r="C35" s="58"/>
      <c r="D35" s="58"/>
      <c r="E35" s="13" t="s">
        <v>328</v>
      </c>
    </row>
    <row r="36" spans="8:8">
      <c r="B36" s="59"/>
      <c r="C36" s="13"/>
      <c r="D36" s="13"/>
      <c r="E36" s="13"/>
    </row>
    <row r="37" spans="8:8">
      <c r="B37" s="60" t="s">
        <v>373</v>
      </c>
      <c r="C37" s="60"/>
      <c r="D37" s="60"/>
      <c r="E37" s="60"/>
    </row>
    <row r="38" spans="8:8">
      <c r="B38" s="59"/>
      <c r="C38" s="13"/>
      <c r="D38" s="13"/>
      <c r="E38" s="13"/>
    </row>
    <row r="40" spans="8:8">
      <c r="B40" s="61" t="s">
        <v>491</v>
      </c>
      <c r="C40" s="61"/>
      <c r="D40" s="61"/>
      <c r="E40" s="61"/>
    </row>
  </sheetData>
  <mergeCells count="3">
    <mergeCell ref="B35:D35"/>
    <mergeCell ref="B37:E37"/>
    <mergeCell ref="B40:E40"/>
  </mergeCells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sheetPr>
    <tabColor rgb="FFFFC000"/>
  </sheetPr>
  <dimension ref="B1:AN40"/>
  <sheetViews>
    <sheetView workbookViewId="0" zoomScale="68">
      <selection activeCell="H49" sqref="H49"/>
    </sheetView>
  </sheetViews>
  <sheetFormatPr defaultRowHeight="15.0" defaultColWidth="10"/>
  <cols>
    <col min="4" max="4" customWidth="1" width="20.140625" style="0"/>
  </cols>
  <sheetData>
    <row r="3" spans="8:8" ht="30.0">
      <c r="B3" s="6" t="s">
        <v>136</v>
      </c>
      <c r="C3" s="6" t="s">
        <v>366</v>
      </c>
      <c r="D3" s="6" t="s">
        <v>156</v>
      </c>
      <c r="E3" s="47" t="s">
        <v>498</v>
      </c>
      <c r="F3" s="6" t="s">
        <v>501</v>
      </c>
    </row>
    <row r="4" spans="8:8">
      <c r="B4" s="48" t="s">
        <v>152</v>
      </c>
      <c r="C4" s="49" t="s">
        <v>367</v>
      </c>
      <c r="D4" s="50" t="s">
        <v>489</v>
      </c>
      <c r="E4" s="51">
        <v>2200.0</v>
      </c>
      <c r="F4" s="52">
        <v>3000.0</v>
      </c>
    </row>
    <row r="5" spans="8:8">
      <c r="B5" s="49"/>
      <c r="C5" s="49"/>
      <c r="D5" s="53">
        <v>16.0</v>
      </c>
      <c r="E5" s="51">
        <v>1700.0</v>
      </c>
      <c r="F5" s="52">
        <v>2500.0</v>
      </c>
    </row>
    <row r="6" spans="8:8">
      <c r="B6" s="49"/>
      <c r="C6" s="49"/>
      <c r="D6" s="53" t="s">
        <v>488</v>
      </c>
      <c r="E6" s="51">
        <v>1500.0</v>
      </c>
      <c r="F6" s="52">
        <v>2000.0</v>
      </c>
    </row>
    <row r="7" spans="8:8">
      <c r="B7" s="49"/>
      <c r="C7" s="49"/>
      <c r="D7" s="53" t="s">
        <v>487</v>
      </c>
      <c r="E7" s="51">
        <v>1300.0</v>
      </c>
      <c r="F7" s="52">
        <v>1700.0</v>
      </c>
    </row>
    <row r="8" spans="8:8">
      <c r="B8" s="49"/>
      <c r="C8" s="49"/>
      <c r="D8" s="53" t="s">
        <v>486</v>
      </c>
      <c r="E8" s="51">
        <v>1200.0</v>
      </c>
      <c r="F8" s="52">
        <v>1500.0</v>
      </c>
    </row>
    <row r="9" spans="8:8">
      <c r="B9" s="49"/>
      <c r="C9" s="49"/>
      <c r="D9" s="54" t="s">
        <v>490</v>
      </c>
      <c r="E9" s="55">
        <v>1000.0</v>
      </c>
      <c r="F9" s="56">
        <v>1300.0</v>
      </c>
    </row>
    <row r="10" spans="8:8">
      <c r="B10" s="48" t="s">
        <v>148</v>
      </c>
      <c r="C10" s="49" t="s">
        <v>368</v>
      </c>
      <c r="D10" s="50" t="s">
        <v>485</v>
      </c>
      <c r="E10" s="51">
        <v>4000.0</v>
      </c>
      <c r="F10" s="52">
        <v>4500.0</v>
      </c>
    </row>
    <row r="11" spans="8:8">
      <c r="B11" s="49"/>
      <c r="C11" s="49"/>
      <c r="D11" s="53">
        <v>8.0</v>
      </c>
      <c r="E11" s="51">
        <v>3200.0</v>
      </c>
      <c r="F11" s="52">
        <v>3700.0</v>
      </c>
    </row>
    <row r="12" spans="8:8">
      <c r="B12" s="49"/>
      <c r="C12" s="49"/>
      <c r="D12" s="53" t="s">
        <v>484</v>
      </c>
      <c r="E12" s="51">
        <v>2700.0</v>
      </c>
      <c r="F12" s="52">
        <v>3200.0</v>
      </c>
    </row>
    <row r="13" spans="8:8">
      <c r="B13" s="49"/>
      <c r="C13" s="49"/>
      <c r="D13" s="53" t="s">
        <v>483</v>
      </c>
      <c r="E13" s="51">
        <v>2500.0</v>
      </c>
      <c r="F13" s="52">
        <v>3000.0</v>
      </c>
    </row>
    <row r="14" spans="8:8">
      <c r="B14" s="49"/>
      <c r="C14" s="49"/>
      <c r="D14" s="53" t="s">
        <v>482</v>
      </c>
      <c r="E14" s="51">
        <v>2200.0</v>
      </c>
      <c r="F14" s="52">
        <v>2700.0</v>
      </c>
    </row>
    <row r="15" spans="8:8">
      <c r="B15" s="49"/>
      <c r="C15" s="49"/>
      <c r="D15" s="54" t="s">
        <v>490</v>
      </c>
      <c r="E15" s="55">
        <v>1800.0</v>
      </c>
      <c r="F15" s="56">
        <v>2200.0</v>
      </c>
    </row>
    <row r="16" spans="8:8">
      <c r="B16" s="48" t="s">
        <v>265</v>
      </c>
      <c r="C16" s="49" t="s">
        <v>369</v>
      </c>
      <c r="D16" s="50" t="s">
        <v>481</v>
      </c>
      <c r="E16" s="51">
        <v>7000.0</v>
      </c>
      <c r="F16" s="52">
        <v>8000.0</v>
      </c>
    </row>
    <row r="17" spans="8:8">
      <c r="B17" s="48"/>
      <c r="C17" s="49"/>
      <c r="D17" s="53">
        <v>4.0</v>
      </c>
      <c r="E17" s="51">
        <v>6000.0</v>
      </c>
      <c r="F17" s="52">
        <v>7000.0</v>
      </c>
    </row>
    <row r="18" spans="8:8">
      <c r="B18" s="48"/>
      <c r="C18" s="49"/>
      <c r="D18" s="53" t="s">
        <v>480</v>
      </c>
      <c r="E18" s="51">
        <v>5000.0</v>
      </c>
      <c r="F18" s="52">
        <v>6000.0</v>
      </c>
    </row>
    <row r="19" spans="8:8">
      <c r="B19" s="49"/>
      <c r="C19" s="49"/>
      <c r="D19" s="53" t="s">
        <v>479</v>
      </c>
      <c r="E19" s="51">
        <v>4500.0</v>
      </c>
      <c r="F19" s="52">
        <v>5500.0</v>
      </c>
    </row>
    <row r="20" spans="8:8">
      <c r="B20" s="49"/>
      <c r="C20" s="49"/>
      <c r="D20" s="53" t="s">
        <v>478</v>
      </c>
      <c r="E20" s="51">
        <v>4000.0</v>
      </c>
      <c r="F20" s="52">
        <v>4700.0</v>
      </c>
    </row>
    <row r="21" spans="8:8">
      <c r="B21" s="49"/>
      <c r="C21" s="49"/>
      <c r="D21" s="54" t="s">
        <v>490</v>
      </c>
      <c r="E21" s="55">
        <v>3500.0</v>
      </c>
      <c r="F21" s="56">
        <v>3700.0</v>
      </c>
    </row>
    <row r="22" spans="8:8">
      <c r="B22" s="48" t="s">
        <v>283</v>
      </c>
      <c r="C22" s="49" t="s">
        <v>370</v>
      </c>
      <c r="D22" s="50">
        <v>1.0</v>
      </c>
      <c r="E22" s="51">
        <v>12000.0</v>
      </c>
      <c r="F22" s="52">
        <v>13000.0</v>
      </c>
    </row>
    <row r="23" spans="8:8">
      <c r="B23" s="48"/>
      <c r="C23" s="49"/>
      <c r="D23" s="53">
        <v>2.0</v>
      </c>
      <c r="E23" s="51">
        <v>10000.0</v>
      </c>
      <c r="F23" s="52">
        <v>12000.0</v>
      </c>
    </row>
    <row r="24" spans="8:8">
      <c r="B24" s="48"/>
      <c r="C24" s="49"/>
      <c r="D24" s="53" t="s">
        <v>475</v>
      </c>
      <c r="E24" s="51">
        <v>9000.0</v>
      </c>
      <c r="F24" s="52">
        <v>10000.0</v>
      </c>
    </row>
    <row r="25" spans="8:8">
      <c r="B25" s="49"/>
      <c r="C25" s="49"/>
      <c r="D25" s="53" t="s">
        <v>476</v>
      </c>
      <c r="E25" s="51">
        <v>8000.0</v>
      </c>
      <c r="F25" s="52">
        <v>9000.0</v>
      </c>
    </row>
    <row r="26" spans="8:8">
      <c r="B26" s="49"/>
      <c r="C26" s="49"/>
      <c r="D26" s="53" t="s">
        <v>477</v>
      </c>
      <c r="E26" s="51">
        <v>7000.0</v>
      </c>
      <c r="F26" s="52">
        <v>8000.0</v>
      </c>
    </row>
    <row r="27" spans="8:8">
      <c r="B27" s="49"/>
      <c r="C27" s="49"/>
      <c r="D27" s="54" t="s">
        <v>490</v>
      </c>
      <c r="E27" s="55">
        <v>6500.0</v>
      </c>
      <c r="F27" s="56">
        <v>7500.0</v>
      </c>
    </row>
    <row r="28" spans="8:8" ht="17.25">
      <c r="B28" s="48" t="s">
        <v>492</v>
      </c>
      <c r="C28" s="49" t="s">
        <v>371</v>
      </c>
      <c r="D28" s="53">
        <v>1.0</v>
      </c>
      <c r="E28" s="51">
        <v>20000.0</v>
      </c>
      <c r="F28" s="52">
        <v>23000.0</v>
      </c>
    </row>
    <row r="29" spans="8:8">
      <c r="B29" s="48"/>
      <c r="C29" s="49"/>
      <c r="D29" s="57" t="s">
        <v>472</v>
      </c>
      <c r="E29" s="51">
        <v>17000.0</v>
      </c>
      <c r="F29" s="52">
        <v>19000.0</v>
      </c>
    </row>
    <row r="30" spans="8:8">
      <c r="B30" s="49"/>
      <c r="C30" s="49"/>
      <c r="D30" s="57" t="s">
        <v>473</v>
      </c>
      <c r="E30" s="51">
        <v>15000.0</v>
      </c>
      <c r="F30" s="52">
        <v>17000.0</v>
      </c>
    </row>
    <row r="31" spans="8:8">
      <c r="B31" s="49"/>
      <c r="C31" s="49"/>
      <c r="D31" s="57" t="s">
        <v>474</v>
      </c>
      <c r="E31" s="51">
        <v>13000.0</v>
      </c>
      <c r="F31" s="52">
        <v>15000.0</v>
      </c>
    </row>
    <row r="32" spans="8:8">
      <c r="D32" s="54" t="s">
        <v>490</v>
      </c>
      <c r="E32" s="55">
        <v>12000.0</v>
      </c>
      <c r="F32" s="56">
        <v>14000.0</v>
      </c>
    </row>
    <row r="35" spans="8:8">
      <c r="B35" s="58" t="s">
        <v>372</v>
      </c>
      <c r="C35" s="58"/>
      <c r="D35" s="58"/>
      <c r="E35" s="13" t="s">
        <v>328</v>
      </c>
    </row>
    <row r="36" spans="8:8">
      <c r="B36" s="59"/>
      <c r="C36" s="13"/>
      <c r="D36" s="13"/>
      <c r="E36" s="13"/>
    </row>
    <row r="37" spans="8:8">
      <c r="B37" s="60" t="s">
        <v>373</v>
      </c>
      <c r="C37" s="60"/>
      <c r="D37" s="60"/>
      <c r="E37" s="60"/>
    </row>
    <row r="38" spans="8:8">
      <c r="B38" s="59"/>
      <c r="C38" s="13"/>
      <c r="D38" s="13"/>
      <c r="E38" s="13"/>
    </row>
    <row r="40" spans="8:8">
      <c r="B40" s="61" t="s">
        <v>491</v>
      </c>
      <c r="C40" s="61"/>
      <c r="D40" s="61"/>
      <c r="E40" s="61"/>
    </row>
  </sheetData>
  <mergeCells count="3">
    <mergeCell ref="B35:D35"/>
    <mergeCell ref="B37:E37"/>
    <mergeCell ref="B40:E40"/>
  </mergeCells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sheetPr>
    <tabColor rgb="FFFFC000"/>
  </sheetPr>
  <dimension ref="B1:AM40"/>
  <sheetViews>
    <sheetView workbookViewId="0">
      <selection activeCell="P53" sqref="P53"/>
    </sheetView>
  </sheetViews>
  <sheetFormatPr defaultRowHeight="15.0" defaultColWidth="10"/>
  <cols>
    <col min="4" max="4" customWidth="1" width="20.140625" style="0"/>
  </cols>
  <sheetData>
    <row r="3" spans="8:8" ht="30.0">
      <c r="B3" s="6" t="s">
        <v>136</v>
      </c>
      <c r="C3" s="6" t="s">
        <v>366</v>
      </c>
      <c r="D3" s="6" t="s">
        <v>156</v>
      </c>
      <c r="E3" s="6" t="s">
        <v>55</v>
      </c>
    </row>
    <row r="4" spans="8:8">
      <c r="B4" s="48" t="s">
        <v>152</v>
      </c>
      <c r="C4" s="49" t="s">
        <v>367</v>
      </c>
      <c r="D4" s="50" t="s">
        <v>489</v>
      </c>
      <c r="E4" s="52">
        <v>3000.0</v>
      </c>
    </row>
    <row r="5" spans="8:8">
      <c r="B5" s="49"/>
      <c r="C5" s="49"/>
      <c r="D5" s="53">
        <v>16.0</v>
      </c>
      <c r="E5" s="52">
        <v>2800.0</v>
      </c>
    </row>
    <row r="6" spans="8:8">
      <c r="B6" s="49"/>
      <c r="C6" s="49"/>
      <c r="D6" s="53" t="s">
        <v>488</v>
      </c>
      <c r="E6" s="52">
        <v>2500.0</v>
      </c>
    </row>
    <row r="7" spans="8:8">
      <c r="B7" s="49"/>
      <c r="C7" s="49"/>
      <c r="D7" s="53" t="s">
        <v>487</v>
      </c>
      <c r="E7" s="52">
        <v>2200.0</v>
      </c>
    </row>
    <row r="8" spans="8:8">
      <c r="B8" s="49"/>
      <c r="C8" s="49"/>
      <c r="D8" s="53" t="s">
        <v>486</v>
      </c>
      <c r="E8" s="52">
        <v>2000.0</v>
      </c>
    </row>
    <row r="9" spans="8:8">
      <c r="B9" s="49"/>
      <c r="C9" s="49"/>
      <c r="D9" s="54" t="s">
        <v>490</v>
      </c>
      <c r="E9" s="56">
        <v>1800.0</v>
      </c>
    </row>
    <row r="10" spans="8:8">
      <c r="B10" s="48" t="s">
        <v>148</v>
      </c>
      <c r="C10" s="49" t="s">
        <v>368</v>
      </c>
      <c r="D10" s="50" t="s">
        <v>485</v>
      </c>
      <c r="E10" s="52">
        <v>5000.0</v>
      </c>
    </row>
    <row r="11" spans="8:8">
      <c r="B11" s="49"/>
      <c r="C11" s="49"/>
      <c r="D11" s="53">
        <v>8.0</v>
      </c>
      <c r="E11" s="52">
        <v>4500.0</v>
      </c>
    </row>
    <row r="12" spans="8:8">
      <c r="B12" s="49"/>
      <c r="C12" s="49"/>
      <c r="D12" s="53" t="s">
        <v>484</v>
      </c>
      <c r="E12" s="52">
        <v>4000.0</v>
      </c>
    </row>
    <row r="13" spans="8:8">
      <c r="B13" s="49"/>
      <c r="C13" s="49"/>
      <c r="D13" s="53" t="s">
        <v>483</v>
      </c>
      <c r="E13" s="52">
        <v>3500.0</v>
      </c>
    </row>
    <row r="14" spans="8:8">
      <c r="B14" s="49"/>
      <c r="C14" s="49"/>
      <c r="D14" s="53" t="s">
        <v>482</v>
      </c>
      <c r="E14" s="52">
        <v>3200.0</v>
      </c>
    </row>
    <row r="15" spans="8:8">
      <c r="B15" s="49"/>
      <c r="C15" s="49"/>
      <c r="D15" s="54" t="s">
        <v>490</v>
      </c>
      <c r="E15" s="56">
        <v>3000.0</v>
      </c>
    </row>
    <row r="16" spans="8:8">
      <c r="B16" s="48" t="s">
        <v>265</v>
      </c>
      <c r="C16" s="49" t="s">
        <v>369</v>
      </c>
      <c r="D16" s="50" t="s">
        <v>481</v>
      </c>
      <c r="E16" s="52">
        <v>9000.0</v>
      </c>
    </row>
    <row r="17" spans="8:8">
      <c r="B17" s="48"/>
      <c r="C17" s="49"/>
      <c r="D17" s="53">
        <v>4.0</v>
      </c>
      <c r="E17" s="52">
        <v>8000.0</v>
      </c>
    </row>
    <row r="18" spans="8:8">
      <c r="B18" s="48"/>
      <c r="C18" s="49"/>
      <c r="D18" s="53" t="s">
        <v>480</v>
      </c>
      <c r="E18" s="52">
        <v>7000.0</v>
      </c>
    </row>
    <row r="19" spans="8:8">
      <c r="B19" s="49"/>
      <c r="C19" s="49"/>
      <c r="D19" s="53" t="s">
        <v>479</v>
      </c>
      <c r="E19" s="52">
        <v>6500.0</v>
      </c>
    </row>
    <row r="20" spans="8:8">
      <c r="B20" s="49"/>
      <c r="C20" s="49"/>
      <c r="D20" s="53" t="s">
        <v>478</v>
      </c>
      <c r="E20" s="52">
        <v>6000.0</v>
      </c>
    </row>
    <row r="21" spans="8:8">
      <c r="B21" s="49"/>
      <c r="C21" s="49"/>
      <c r="D21" s="54" t="s">
        <v>490</v>
      </c>
      <c r="E21" s="56">
        <v>5500.0</v>
      </c>
    </row>
    <row r="22" spans="8:8">
      <c r="B22" s="48" t="s">
        <v>283</v>
      </c>
      <c r="C22" s="49" t="s">
        <v>370</v>
      </c>
      <c r="D22" s="50">
        <v>1.0</v>
      </c>
      <c r="E22" s="52">
        <v>16000.0</v>
      </c>
    </row>
    <row r="23" spans="8:8">
      <c r="B23" s="48"/>
      <c r="C23" s="49"/>
      <c r="D23" s="53">
        <v>2.0</v>
      </c>
      <c r="E23" s="52">
        <v>15000.0</v>
      </c>
    </row>
    <row r="24" spans="8:8">
      <c r="B24" s="48"/>
      <c r="C24" s="49"/>
      <c r="D24" s="53" t="s">
        <v>475</v>
      </c>
      <c r="E24" s="52">
        <v>13000.0</v>
      </c>
    </row>
    <row r="25" spans="8:8">
      <c r="B25" s="49"/>
      <c r="C25" s="49"/>
      <c r="D25" s="53" t="s">
        <v>476</v>
      </c>
      <c r="E25" s="52">
        <v>12000.0</v>
      </c>
    </row>
    <row r="26" spans="8:8">
      <c r="B26" s="49"/>
      <c r="C26" s="49"/>
      <c r="D26" s="53" t="s">
        <v>477</v>
      </c>
      <c r="E26" s="52">
        <v>11000.0</v>
      </c>
    </row>
    <row r="27" spans="8:8">
      <c r="B27" s="49"/>
      <c r="C27" s="49"/>
      <c r="D27" s="54" t="s">
        <v>490</v>
      </c>
      <c r="E27" s="56">
        <v>10500.0</v>
      </c>
    </row>
    <row r="28" spans="8:8" ht="17.25">
      <c r="B28" s="48" t="s">
        <v>492</v>
      </c>
      <c r="C28" s="49" t="s">
        <v>371</v>
      </c>
      <c r="D28" s="53">
        <v>1.0</v>
      </c>
      <c r="E28" s="52">
        <v>30000.0</v>
      </c>
    </row>
    <row r="29" spans="8:8">
      <c r="B29" s="48"/>
      <c r="C29" s="49"/>
      <c r="D29" s="57" t="s">
        <v>472</v>
      </c>
      <c r="E29" s="52">
        <v>28000.0</v>
      </c>
    </row>
    <row r="30" spans="8:8">
      <c r="B30" s="49"/>
      <c r="C30" s="49"/>
      <c r="D30" s="57" t="s">
        <v>473</v>
      </c>
      <c r="E30" s="52">
        <v>25000.0</v>
      </c>
    </row>
    <row r="31" spans="8:8">
      <c r="B31" s="49"/>
      <c r="C31" s="49"/>
      <c r="D31" s="57" t="s">
        <v>474</v>
      </c>
      <c r="E31" s="52">
        <v>22000.0</v>
      </c>
    </row>
    <row r="32" spans="8:8">
      <c r="D32" s="54" t="s">
        <v>490</v>
      </c>
      <c r="E32" s="56">
        <v>20000.0</v>
      </c>
    </row>
    <row r="35" spans="8:8">
      <c r="B35" s="66" t="s">
        <v>372</v>
      </c>
      <c r="C35" s="66"/>
      <c r="D35" s="66"/>
      <c r="E35" s="13" t="s">
        <v>328</v>
      </c>
    </row>
    <row r="36" spans="8:8">
      <c r="B36" s="59"/>
      <c r="C36" s="13"/>
      <c r="D36" s="13"/>
      <c r="E36" s="13"/>
    </row>
    <row r="37" spans="8:8">
      <c r="B37" s="67" t="s">
        <v>373</v>
      </c>
      <c r="C37" s="67"/>
      <c r="D37" s="67"/>
      <c r="E37" s="67"/>
    </row>
    <row r="38" spans="8:8">
      <c r="B38" s="59"/>
      <c r="C38" s="13"/>
      <c r="D38" s="13"/>
      <c r="E38" s="13"/>
    </row>
    <row r="40" spans="8:8" ht="15.0" customHeight="1">
      <c r="B40" s="68" t="s">
        <v>491</v>
      </c>
      <c r="C40" s="68"/>
      <c r="D40" s="68"/>
      <c r="E40" s="68"/>
    </row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sheetPr>
    <tabColor rgb="FFFFC000"/>
  </sheetPr>
  <dimension ref="B1:AO40"/>
  <sheetViews>
    <sheetView workbookViewId="0">
      <selection activeCell="O44" sqref="O44"/>
    </sheetView>
  </sheetViews>
  <sheetFormatPr defaultRowHeight="15.0" defaultColWidth="10"/>
  <cols>
    <col min="4" max="4" customWidth="1" width="20.140625" style="0"/>
    <col min="7" max="8" customWidth="1" width="12.7109375" style="0"/>
  </cols>
  <sheetData>
    <row r="3" spans="8:8" ht="45.0">
      <c r="B3" s="6" t="s">
        <v>136</v>
      </c>
      <c r="C3" s="6" t="s">
        <v>366</v>
      </c>
      <c r="D3" s="6" t="s">
        <v>156</v>
      </c>
      <c r="E3" s="47" t="s">
        <v>498</v>
      </c>
      <c r="F3" s="47" t="s">
        <v>499</v>
      </c>
      <c r="G3" s="6" t="s">
        <v>503</v>
      </c>
    </row>
    <row r="4" spans="8:8">
      <c r="B4" s="48" t="s">
        <v>152</v>
      </c>
      <c r="C4" s="49" t="s">
        <v>367</v>
      </c>
      <c r="D4" s="50" t="s">
        <v>489</v>
      </c>
      <c r="E4" s="51">
        <v>2200.0</v>
      </c>
      <c r="F4" s="51">
        <v>3000.0</v>
      </c>
      <c r="G4" s="52">
        <f>F4*2</f>
        <v>6000.0</v>
      </c>
    </row>
    <row r="5" spans="8:8">
      <c r="B5" s="49"/>
      <c r="C5" s="49"/>
      <c r="D5" s="53">
        <v>16.0</v>
      </c>
      <c r="E5" s="51">
        <v>1700.0</v>
      </c>
      <c r="F5" s="51">
        <v>2500.0</v>
      </c>
      <c r="G5" s="52">
        <f t="shared" si="0" ref="G5:G32">F5*2</f>
        <v>5000.0</v>
      </c>
    </row>
    <row r="6" spans="8:8">
      <c r="B6" s="49"/>
      <c r="C6" s="49"/>
      <c r="D6" s="53" t="s">
        <v>488</v>
      </c>
      <c r="E6" s="51">
        <v>1500.0</v>
      </c>
      <c r="F6" s="51">
        <v>2000.0</v>
      </c>
      <c r="G6" s="52">
        <f t="shared" si="0"/>
        <v>4000.0</v>
      </c>
    </row>
    <row r="7" spans="8:8">
      <c r="B7" s="49"/>
      <c r="C7" s="49"/>
      <c r="D7" s="53" t="s">
        <v>487</v>
      </c>
      <c r="E7" s="51">
        <v>1300.0</v>
      </c>
      <c r="F7" s="51">
        <v>1700.0</v>
      </c>
      <c r="G7" s="52">
        <f t="shared" si="0"/>
        <v>3400.0</v>
      </c>
    </row>
    <row r="8" spans="8:8">
      <c r="B8" s="49"/>
      <c r="C8" s="49"/>
      <c r="D8" s="53" t="s">
        <v>486</v>
      </c>
      <c r="E8" s="51">
        <v>1200.0</v>
      </c>
      <c r="F8" s="51">
        <v>1500.0</v>
      </c>
      <c r="G8" s="52">
        <f t="shared" si="0"/>
        <v>3000.0</v>
      </c>
    </row>
    <row r="9" spans="8:8">
      <c r="B9" s="49"/>
      <c r="C9" s="49"/>
      <c r="D9" s="54" t="s">
        <v>490</v>
      </c>
      <c r="E9" s="55">
        <v>1000.0</v>
      </c>
      <c r="F9" s="55">
        <v>1300.0</v>
      </c>
      <c r="G9" s="69">
        <f t="shared" si="0"/>
        <v>2600.0</v>
      </c>
    </row>
    <row r="10" spans="8:8">
      <c r="B10" s="48" t="s">
        <v>148</v>
      </c>
      <c r="C10" s="49" t="s">
        <v>368</v>
      </c>
      <c r="D10" s="50" t="s">
        <v>485</v>
      </c>
      <c r="E10" s="51">
        <v>4000.0</v>
      </c>
      <c r="F10" s="51">
        <v>4500.0</v>
      </c>
      <c r="G10" s="52">
        <f t="shared" si="0"/>
        <v>9000.0</v>
      </c>
    </row>
    <row r="11" spans="8:8">
      <c r="B11" s="49"/>
      <c r="C11" s="49"/>
      <c r="D11" s="53">
        <v>8.0</v>
      </c>
      <c r="E11" s="51">
        <v>3200.0</v>
      </c>
      <c r="F11" s="51">
        <v>3700.0</v>
      </c>
      <c r="G11" s="52">
        <f t="shared" si="0"/>
        <v>7400.0</v>
      </c>
    </row>
    <row r="12" spans="8:8">
      <c r="B12" s="49"/>
      <c r="C12" s="49"/>
      <c r="D12" s="53" t="s">
        <v>484</v>
      </c>
      <c r="E12" s="51">
        <v>2700.0</v>
      </c>
      <c r="F12" s="51">
        <v>3200.0</v>
      </c>
      <c r="G12" s="52">
        <f t="shared" si="0"/>
        <v>6400.0</v>
      </c>
    </row>
    <row r="13" spans="8:8">
      <c r="B13" s="49"/>
      <c r="C13" s="49"/>
      <c r="D13" s="53" t="s">
        <v>483</v>
      </c>
      <c r="E13" s="51">
        <v>2500.0</v>
      </c>
      <c r="F13" s="51">
        <v>3000.0</v>
      </c>
      <c r="G13" s="52">
        <f t="shared" si="0"/>
        <v>6000.0</v>
      </c>
    </row>
    <row r="14" spans="8:8">
      <c r="B14" s="49"/>
      <c r="C14" s="49"/>
      <c r="D14" s="53" t="s">
        <v>482</v>
      </c>
      <c r="E14" s="51">
        <v>2200.0</v>
      </c>
      <c r="F14" s="51">
        <v>2700.0</v>
      </c>
      <c r="G14" s="52">
        <f t="shared" si="0"/>
        <v>5400.0</v>
      </c>
    </row>
    <row r="15" spans="8:8">
      <c r="B15" s="49"/>
      <c r="C15" s="49"/>
      <c r="D15" s="54" t="s">
        <v>490</v>
      </c>
      <c r="E15" s="55">
        <v>1800.0</v>
      </c>
      <c r="F15" s="55">
        <v>2200.0</v>
      </c>
      <c r="G15" s="69">
        <f t="shared" si="0"/>
        <v>4400.0</v>
      </c>
    </row>
    <row r="16" spans="8:8">
      <c r="B16" s="48" t="s">
        <v>265</v>
      </c>
      <c r="C16" s="49" t="s">
        <v>369</v>
      </c>
      <c r="D16" s="50" t="s">
        <v>481</v>
      </c>
      <c r="E16" s="51">
        <v>7000.0</v>
      </c>
      <c r="F16" s="51">
        <v>8000.0</v>
      </c>
      <c r="G16" s="52">
        <f t="shared" si="0"/>
        <v>16000.0</v>
      </c>
    </row>
    <row r="17" spans="8:8">
      <c r="B17" s="48"/>
      <c r="C17" s="49"/>
      <c r="D17" s="53">
        <v>4.0</v>
      </c>
      <c r="E17" s="51">
        <v>6000.0</v>
      </c>
      <c r="F17" s="51">
        <v>7000.0</v>
      </c>
      <c r="G17" s="52">
        <f t="shared" si="0"/>
        <v>14000.0</v>
      </c>
    </row>
    <row r="18" spans="8:8">
      <c r="B18" s="48"/>
      <c r="C18" s="49"/>
      <c r="D18" s="53" t="s">
        <v>480</v>
      </c>
      <c r="E18" s="51">
        <v>5000.0</v>
      </c>
      <c r="F18" s="51">
        <v>6000.0</v>
      </c>
      <c r="G18" s="52">
        <f t="shared" si="0"/>
        <v>12000.0</v>
      </c>
    </row>
    <row r="19" spans="8:8">
      <c r="B19" s="49"/>
      <c r="C19" s="49"/>
      <c r="D19" s="53" t="s">
        <v>479</v>
      </c>
      <c r="E19" s="51">
        <v>4500.0</v>
      </c>
      <c r="F19" s="51">
        <v>5500.0</v>
      </c>
      <c r="G19" s="52">
        <f t="shared" si="0"/>
        <v>11000.0</v>
      </c>
    </row>
    <row r="20" spans="8:8">
      <c r="B20" s="49"/>
      <c r="C20" s="49"/>
      <c r="D20" s="53" t="s">
        <v>478</v>
      </c>
      <c r="E20" s="51">
        <v>4000.0</v>
      </c>
      <c r="F20" s="51">
        <v>4700.0</v>
      </c>
      <c r="G20" s="52">
        <f t="shared" si="0"/>
        <v>9400.0</v>
      </c>
    </row>
    <row r="21" spans="8:8">
      <c r="B21" s="49"/>
      <c r="C21" s="49"/>
      <c r="D21" s="54" t="s">
        <v>490</v>
      </c>
      <c r="E21" s="55">
        <v>3500.0</v>
      </c>
      <c r="F21" s="55">
        <v>3700.0</v>
      </c>
      <c r="G21" s="69">
        <f t="shared" si="0"/>
        <v>7400.0</v>
      </c>
    </row>
    <row r="22" spans="8:8">
      <c r="B22" s="48" t="s">
        <v>283</v>
      </c>
      <c r="C22" s="49" t="s">
        <v>370</v>
      </c>
      <c r="D22" s="50">
        <v>1.0</v>
      </c>
      <c r="E22" s="51">
        <v>12000.0</v>
      </c>
      <c r="F22" s="51">
        <v>13000.0</v>
      </c>
      <c r="G22" s="52">
        <f t="shared" si="0"/>
        <v>26000.0</v>
      </c>
    </row>
    <row r="23" spans="8:8">
      <c r="B23" s="48"/>
      <c r="C23" s="49"/>
      <c r="D23" s="53">
        <v>2.0</v>
      </c>
      <c r="E23" s="51">
        <v>10000.0</v>
      </c>
      <c r="F23" s="51">
        <v>12000.0</v>
      </c>
      <c r="G23" s="52">
        <f t="shared" si="0"/>
        <v>24000.0</v>
      </c>
    </row>
    <row r="24" spans="8:8">
      <c r="B24" s="48"/>
      <c r="C24" s="49"/>
      <c r="D24" s="53" t="s">
        <v>475</v>
      </c>
      <c r="E24" s="51">
        <v>9000.0</v>
      </c>
      <c r="F24" s="51">
        <v>10000.0</v>
      </c>
      <c r="G24" s="52">
        <f t="shared" si="0"/>
        <v>20000.0</v>
      </c>
    </row>
    <row r="25" spans="8:8">
      <c r="B25" s="49"/>
      <c r="C25" s="49"/>
      <c r="D25" s="53" t="s">
        <v>476</v>
      </c>
      <c r="E25" s="51">
        <v>8000.0</v>
      </c>
      <c r="F25" s="51">
        <v>9000.0</v>
      </c>
      <c r="G25" s="52">
        <f t="shared" si="0"/>
        <v>18000.0</v>
      </c>
    </row>
    <row r="26" spans="8:8">
      <c r="B26" s="49"/>
      <c r="C26" s="49"/>
      <c r="D26" s="53" t="s">
        <v>477</v>
      </c>
      <c r="E26" s="51">
        <v>7000.0</v>
      </c>
      <c r="F26" s="51">
        <v>8000.0</v>
      </c>
      <c r="G26" s="52">
        <f t="shared" si="0"/>
        <v>16000.0</v>
      </c>
    </row>
    <row r="27" spans="8:8">
      <c r="B27" s="49"/>
      <c r="C27" s="49"/>
      <c r="D27" s="54" t="s">
        <v>490</v>
      </c>
      <c r="E27" s="55">
        <v>6500.0</v>
      </c>
      <c r="F27" s="55">
        <v>7500.0</v>
      </c>
      <c r="G27" s="69">
        <f t="shared" si="0"/>
        <v>15000.0</v>
      </c>
    </row>
    <row r="28" spans="8:8" ht="17.25">
      <c r="B28" s="48" t="s">
        <v>492</v>
      </c>
      <c r="C28" s="49" t="s">
        <v>371</v>
      </c>
      <c r="D28" s="53">
        <v>1.0</v>
      </c>
      <c r="E28" s="51">
        <v>20000.0</v>
      </c>
      <c r="F28" s="51">
        <v>23000.0</v>
      </c>
      <c r="G28" s="52">
        <f t="shared" si="0"/>
        <v>46000.0</v>
      </c>
    </row>
    <row r="29" spans="8:8">
      <c r="B29" s="48"/>
      <c r="C29" s="49"/>
      <c r="D29" s="57" t="s">
        <v>472</v>
      </c>
      <c r="E29" s="51">
        <v>17000.0</v>
      </c>
      <c r="F29" s="51">
        <v>19000.0</v>
      </c>
      <c r="G29" s="52">
        <f t="shared" si="0"/>
        <v>38000.0</v>
      </c>
    </row>
    <row r="30" spans="8:8">
      <c r="B30" s="49"/>
      <c r="C30" s="49"/>
      <c r="D30" s="57" t="s">
        <v>473</v>
      </c>
      <c r="E30" s="51">
        <v>15000.0</v>
      </c>
      <c r="F30" s="51">
        <v>17000.0</v>
      </c>
      <c r="G30" s="52">
        <f t="shared" si="0"/>
        <v>34000.0</v>
      </c>
    </row>
    <row r="31" spans="8:8">
      <c r="B31" s="49"/>
      <c r="C31" s="49"/>
      <c r="D31" s="57" t="s">
        <v>474</v>
      </c>
      <c r="E31" s="51">
        <v>13000.0</v>
      </c>
      <c r="F31" s="51">
        <v>15000.0</v>
      </c>
      <c r="G31" s="52">
        <f t="shared" si="0"/>
        <v>30000.0</v>
      </c>
    </row>
    <row r="32" spans="8:8">
      <c r="D32" s="54" t="s">
        <v>490</v>
      </c>
      <c r="E32" s="55">
        <v>12000.0</v>
      </c>
      <c r="F32" s="55">
        <v>14000.0</v>
      </c>
      <c r="G32" s="69">
        <f t="shared" si="0"/>
        <v>28000.0</v>
      </c>
    </row>
    <row r="35" spans="8:8">
      <c r="B35" s="58" t="s">
        <v>372</v>
      </c>
      <c r="C35" s="58"/>
      <c r="D35" s="58"/>
      <c r="E35" s="13" t="s">
        <v>328</v>
      </c>
    </row>
    <row r="36" spans="8:8">
      <c r="B36" s="59"/>
      <c r="C36" s="13"/>
      <c r="D36" s="13"/>
      <c r="E36" s="13"/>
    </row>
    <row r="37" spans="8:8">
      <c r="B37" s="60" t="s">
        <v>373</v>
      </c>
      <c r="C37" s="60"/>
      <c r="D37" s="60"/>
      <c r="E37" s="60"/>
    </row>
    <row r="38" spans="8:8">
      <c r="B38" s="59"/>
      <c r="C38" s="13"/>
      <c r="D38" s="13"/>
      <c r="E38" s="13"/>
    </row>
    <row r="40" spans="8:8">
      <c r="B40" s="61" t="s">
        <v>491</v>
      </c>
      <c r="C40" s="61"/>
      <c r="D40" s="61"/>
      <c r="E40" s="61"/>
    </row>
  </sheetData>
  <mergeCells count="3">
    <mergeCell ref="B35:D35"/>
    <mergeCell ref="B37:E37"/>
    <mergeCell ref="B40:E40"/>
  </mergeCells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sheetPr>
    <tabColor rgb="FFFFC000"/>
  </sheetPr>
  <dimension ref="B1:AO40"/>
  <sheetViews>
    <sheetView workbookViewId="0">
      <selection activeCell="I27" sqref="I27"/>
    </sheetView>
  </sheetViews>
  <sheetFormatPr defaultRowHeight="15.0" defaultColWidth="10"/>
  <cols>
    <col min="4" max="4" customWidth="1" width="20.140625" style="0"/>
    <col min="7" max="8" customWidth="1" width="12.7109375" style="0"/>
  </cols>
  <sheetData>
    <row r="3" spans="8:8" ht="45.0">
      <c r="B3" s="6" t="s">
        <v>136</v>
      </c>
      <c r="C3" s="6" t="s">
        <v>366</v>
      </c>
      <c r="D3" s="6" t="s">
        <v>156</v>
      </c>
      <c r="E3" s="47" t="s">
        <v>498</v>
      </c>
      <c r="F3" s="47" t="s">
        <v>499</v>
      </c>
      <c r="G3" s="6" t="s">
        <v>500</v>
      </c>
    </row>
    <row r="4" spans="8:8">
      <c r="B4" s="48" t="s">
        <v>152</v>
      </c>
      <c r="C4" s="49" t="s">
        <v>367</v>
      </c>
      <c r="D4" s="50" t="s">
        <v>489</v>
      </c>
      <c r="E4" s="51">
        <v>2200.0</v>
      </c>
      <c r="F4" s="51">
        <v>3000.0</v>
      </c>
      <c r="G4" s="52">
        <f>F4*2</f>
        <v>6000.0</v>
      </c>
    </row>
    <row r="5" spans="8:8">
      <c r="B5" s="49"/>
      <c r="C5" s="49"/>
      <c r="D5" s="53">
        <v>16.0</v>
      </c>
      <c r="E5" s="51">
        <v>1700.0</v>
      </c>
      <c r="F5" s="51">
        <v>2500.0</v>
      </c>
      <c r="G5" s="52">
        <f t="shared" si="0" ref="G5:G32">F5*2</f>
        <v>5000.0</v>
      </c>
    </row>
    <row r="6" spans="8:8">
      <c r="B6" s="49"/>
      <c r="C6" s="49"/>
      <c r="D6" s="53" t="s">
        <v>488</v>
      </c>
      <c r="E6" s="51">
        <v>1500.0</v>
      </c>
      <c r="F6" s="51">
        <v>2000.0</v>
      </c>
      <c r="G6" s="52">
        <f t="shared" si="0"/>
        <v>4000.0</v>
      </c>
    </row>
    <row r="7" spans="8:8">
      <c r="B7" s="49"/>
      <c r="C7" s="49"/>
      <c r="D7" s="53" t="s">
        <v>487</v>
      </c>
      <c r="E7" s="51">
        <v>1300.0</v>
      </c>
      <c r="F7" s="51">
        <v>1700.0</v>
      </c>
      <c r="G7" s="52">
        <f t="shared" si="0"/>
        <v>3400.0</v>
      </c>
    </row>
    <row r="8" spans="8:8">
      <c r="B8" s="49"/>
      <c r="C8" s="49"/>
      <c r="D8" s="53" t="s">
        <v>486</v>
      </c>
      <c r="E8" s="51">
        <v>1200.0</v>
      </c>
      <c r="F8" s="51">
        <v>1500.0</v>
      </c>
      <c r="G8" s="52">
        <f t="shared" si="0"/>
        <v>3000.0</v>
      </c>
    </row>
    <row r="9" spans="8:8">
      <c r="B9" s="49"/>
      <c r="C9" s="49"/>
      <c r="D9" s="54" t="s">
        <v>490</v>
      </c>
      <c r="E9" s="55">
        <v>1000.0</v>
      </c>
      <c r="F9" s="55">
        <v>1300.0</v>
      </c>
      <c r="G9" s="69">
        <f t="shared" si="0"/>
        <v>2600.0</v>
      </c>
    </row>
    <row r="10" spans="8:8">
      <c r="B10" s="48" t="s">
        <v>148</v>
      </c>
      <c r="C10" s="49" t="s">
        <v>368</v>
      </c>
      <c r="D10" s="50" t="s">
        <v>485</v>
      </c>
      <c r="E10" s="51">
        <v>4000.0</v>
      </c>
      <c r="F10" s="51">
        <v>4500.0</v>
      </c>
      <c r="G10" s="52">
        <f t="shared" si="0"/>
        <v>9000.0</v>
      </c>
    </row>
    <row r="11" spans="8:8">
      <c r="B11" s="49"/>
      <c r="C11" s="49"/>
      <c r="D11" s="53">
        <v>8.0</v>
      </c>
      <c r="E11" s="51">
        <v>3200.0</v>
      </c>
      <c r="F11" s="51">
        <v>3700.0</v>
      </c>
      <c r="G11" s="52">
        <f t="shared" si="0"/>
        <v>7400.0</v>
      </c>
    </row>
    <row r="12" spans="8:8">
      <c r="B12" s="49"/>
      <c r="C12" s="49"/>
      <c r="D12" s="53" t="s">
        <v>484</v>
      </c>
      <c r="E12" s="51">
        <v>2700.0</v>
      </c>
      <c r="F12" s="51">
        <v>3200.0</v>
      </c>
      <c r="G12" s="52">
        <f t="shared" si="0"/>
        <v>6400.0</v>
      </c>
    </row>
    <row r="13" spans="8:8">
      <c r="B13" s="49"/>
      <c r="C13" s="49"/>
      <c r="D13" s="53" t="s">
        <v>483</v>
      </c>
      <c r="E13" s="51">
        <v>2500.0</v>
      </c>
      <c r="F13" s="51">
        <v>3000.0</v>
      </c>
      <c r="G13" s="52">
        <f t="shared" si="0"/>
        <v>6000.0</v>
      </c>
    </row>
    <row r="14" spans="8:8">
      <c r="B14" s="49"/>
      <c r="C14" s="49"/>
      <c r="D14" s="53" t="s">
        <v>482</v>
      </c>
      <c r="E14" s="51">
        <v>2200.0</v>
      </c>
      <c r="F14" s="51">
        <v>2700.0</v>
      </c>
      <c r="G14" s="52">
        <f t="shared" si="0"/>
        <v>5400.0</v>
      </c>
    </row>
    <row r="15" spans="8:8">
      <c r="B15" s="49"/>
      <c r="C15" s="49"/>
      <c r="D15" s="54" t="s">
        <v>490</v>
      </c>
      <c r="E15" s="55">
        <v>1800.0</v>
      </c>
      <c r="F15" s="55">
        <v>2200.0</v>
      </c>
      <c r="G15" s="69">
        <f t="shared" si="0"/>
        <v>4400.0</v>
      </c>
    </row>
    <row r="16" spans="8:8">
      <c r="B16" s="48" t="s">
        <v>265</v>
      </c>
      <c r="C16" s="49" t="s">
        <v>369</v>
      </c>
      <c r="D16" s="50" t="s">
        <v>481</v>
      </c>
      <c r="E16" s="51">
        <v>7000.0</v>
      </c>
      <c r="F16" s="51">
        <v>8000.0</v>
      </c>
      <c r="G16" s="52">
        <f t="shared" si="0"/>
        <v>16000.0</v>
      </c>
    </row>
    <row r="17" spans="8:8">
      <c r="B17" s="48"/>
      <c r="C17" s="49"/>
      <c r="D17" s="53">
        <v>4.0</v>
      </c>
      <c r="E17" s="51">
        <v>6000.0</v>
      </c>
      <c r="F17" s="51">
        <v>7000.0</v>
      </c>
      <c r="G17" s="52">
        <f t="shared" si="0"/>
        <v>14000.0</v>
      </c>
    </row>
    <row r="18" spans="8:8">
      <c r="B18" s="48"/>
      <c r="C18" s="49"/>
      <c r="D18" s="53" t="s">
        <v>480</v>
      </c>
      <c r="E18" s="51">
        <v>5000.0</v>
      </c>
      <c r="F18" s="51">
        <v>6000.0</v>
      </c>
      <c r="G18" s="52">
        <f t="shared" si="0"/>
        <v>12000.0</v>
      </c>
    </row>
    <row r="19" spans="8:8">
      <c r="B19" s="49"/>
      <c r="C19" s="49"/>
      <c r="D19" s="53" t="s">
        <v>479</v>
      </c>
      <c r="E19" s="51">
        <v>4500.0</v>
      </c>
      <c r="F19" s="51">
        <v>5500.0</v>
      </c>
      <c r="G19" s="52">
        <f t="shared" si="0"/>
        <v>11000.0</v>
      </c>
    </row>
    <row r="20" spans="8:8">
      <c r="B20" s="49"/>
      <c r="C20" s="49"/>
      <c r="D20" s="53" t="s">
        <v>478</v>
      </c>
      <c r="E20" s="51">
        <v>4000.0</v>
      </c>
      <c r="F20" s="51">
        <v>4700.0</v>
      </c>
      <c r="G20" s="52">
        <f t="shared" si="0"/>
        <v>9400.0</v>
      </c>
    </row>
    <row r="21" spans="8:8">
      <c r="B21" s="49"/>
      <c r="C21" s="49"/>
      <c r="D21" s="54" t="s">
        <v>490</v>
      </c>
      <c r="E21" s="55">
        <v>3500.0</v>
      </c>
      <c r="F21" s="55">
        <v>3700.0</v>
      </c>
      <c r="G21" s="69">
        <f t="shared" si="0"/>
        <v>7400.0</v>
      </c>
    </row>
    <row r="22" spans="8:8">
      <c r="B22" s="48" t="s">
        <v>283</v>
      </c>
      <c r="C22" s="49" t="s">
        <v>370</v>
      </c>
      <c r="D22" s="50">
        <v>1.0</v>
      </c>
      <c r="E22" s="51">
        <v>12000.0</v>
      </c>
      <c r="F22" s="51">
        <v>13000.0</v>
      </c>
      <c r="G22" s="52">
        <f t="shared" si="0"/>
        <v>26000.0</v>
      </c>
    </row>
    <row r="23" spans="8:8">
      <c r="B23" s="48"/>
      <c r="C23" s="49"/>
      <c r="D23" s="53">
        <v>2.0</v>
      </c>
      <c r="E23" s="51">
        <v>10000.0</v>
      </c>
      <c r="F23" s="51">
        <v>12000.0</v>
      </c>
      <c r="G23" s="52">
        <f t="shared" si="0"/>
        <v>24000.0</v>
      </c>
    </row>
    <row r="24" spans="8:8">
      <c r="B24" s="48"/>
      <c r="C24" s="49"/>
      <c r="D24" s="53" t="s">
        <v>475</v>
      </c>
      <c r="E24" s="51">
        <v>9000.0</v>
      </c>
      <c r="F24" s="51">
        <v>10000.0</v>
      </c>
      <c r="G24" s="52">
        <f t="shared" si="0"/>
        <v>20000.0</v>
      </c>
    </row>
    <row r="25" spans="8:8">
      <c r="B25" s="49"/>
      <c r="C25" s="49"/>
      <c r="D25" s="53" t="s">
        <v>476</v>
      </c>
      <c r="E25" s="51">
        <v>8000.0</v>
      </c>
      <c r="F25" s="51">
        <v>9000.0</v>
      </c>
      <c r="G25" s="52">
        <f t="shared" si="0"/>
        <v>18000.0</v>
      </c>
    </row>
    <row r="26" spans="8:8">
      <c r="B26" s="49"/>
      <c r="C26" s="49"/>
      <c r="D26" s="53" t="s">
        <v>477</v>
      </c>
      <c r="E26" s="51">
        <v>7000.0</v>
      </c>
      <c r="F26" s="51">
        <v>8000.0</v>
      </c>
      <c r="G26" s="52">
        <f t="shared" si="0"/>
        <v>16000.0</v>
      </c>
    </row>
    <row r="27" spans="8:8">
      <c r="B27" s="49"/>
      <c r="C27" s="49"/>
      <c r="D27" s="54" t="s">
        <v>490</v>
      </c>
      <c r="E27" s="55">
        <v>6500.0</v>
      </c>
      <c r="F27" s="55">
        <v>7500.0</v>
      </c>
      <c r="G27" s="69">
        <f t="shared" si="0"/>
        <v>15000.0</v>
      </c>
    </row>
    <row r="28" spans="8:8" ht="17.25">
      <c r="B28" s="48" t="s">
        <v>492</v>
      </c>
      <c r="C28" s="49" t="s">
        <v>371</v>
      </c>
      <c r="D28" s="53">
        <v>1.0</v>
      </c>
      <c r="E28" s="51">
        <v>20000.0</v>
      </c>
      <c r="F28" s="51">
        <v>23000.0</v>
      </c>
      <c r="G28" s="52">
        <f t="shared" si="0"/>
        <v>46000.0</v>
      </c>
    </row>
    <row r="29" spans="8:8">
      <c r="B29" s="48"/>
      <c r="C29" s="49"/>
      <c r="D29" s="57" t="s">
        <v>472</v>
      </c>
      <c r="E29" s="51">
        <v>17000.0</v>
      </c>
      <c r="F29" s="51">
        <v>19000.0</v>
      </c>
      <c r="G29" s="52">
        <f t="shared" si="0"/>
        <v>38000.0</v>
      </c>
    </row>
    <row r="30" spans="8:8">
      <c r="B30" s="49"/>
      <c r="C30" s="49"/>
      <c r="D30" s="57" t="s">
        <v>473</v>
      </c>
      <c r="E30" s="51">
        <v>15000.0</v>
      </c>
      <c r="F30" s="51">
        <v>17000.0</v>
      </c>
      <c r="G30" s="52">
        <f t="shared" si="0"/>
        <v>34000.0</v>
      </c>
    </row>
    <row r="31" spans="8:8">
      <c r="B31" s="49"/>
      <c r="C31" s="49"/>
      <c r="D31" s="57" t="s">
        <v>474</v>
      </c>
      <c r="E31" s="51">
        <v>13000.0</v>
      </c>
      <c r="F31" s="51">
        <v>15000.0</v>
      </c>
      <c r="G31" s="52">
        <f t="shared" si="0"/>
        <v>30000.0</v>
      </c>
    </row>
    <row r="32" spans="8:8">
      <c r="D32" s="54" t="s">
        <v>490</v>
      </c>
      <c r="E32" s="55">
        <v>12000.0</v>
      </c>
      <c r="F32" s="55">
        <v>14000.0</v>
      </c>
      <c r="G32" s="69">
        <f t="shared" si="0"/>
        <v>28000.0</v>
      </c>
    </row>
    <row r="35" spans="8:8">
      <c r="B35" s="58" t="s">
        <v>372</v>
      </c>
      <c r="C35" s="58"/>
      <c r="D35" s="58"/>
      <c r="E35" s="13" t="s">
        <v>328</v>
      </c>
    </row>
    <row r="36" spans="8:8">
      <c r="B36" s="59"/>
      <c r="C36" s="13"/>
      <c r="D36" s="13"/>
      <c r="E36" s="13"/>
    </row>
    <row r="37" spans="8:8">
      <c r="B37" s="60" t="s">
        <v>373</v>
      </c>
      <c r="C37" s="60"/>
      <c r="D37" s="60"/>
      <c r="E37" s="60"/>
    </row>
    <row r="38" spans="8:8">
      <c r="B38" s="59"/>
      <c r="C38" s="13"/>
      <c r="D38" s="13"/>
      <c r="E38" s="13"/>
    </row>
    <row r="40" spans="8:8">
      <c r="B40" s="61" t="s">
        <v>491</v>
      </c>
      <c r="C40" s="61"/>
      <c r="D40" s="61"/>
      <c r="E40" s="61"/>
    </row>
  </sheetData>
  <mergeCells count="3">
    <mergeCell ref="B35:D35"/>
    <mergeCell ref="B37:E37"/>
    <mergeCell ref="B40:E40"/>
  </mergeCells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sheetPr>
    <tabColor rgb="FFFFFF00"/>
  </sheetPr>
  <dimension ref="B1:AN24"/>
  <sheetViews>
    <sheetView workbookViewId="0" topLeftCell="D1">
      <selection activeCell="O38" sqref="O38"/>
    </sheetView>
  </sheetViews>
  <sheetFormatPr defaultRowHeight="15.0" defaultColWidth="10"/>
  <cols>
    <col min="4" max="4" customWidth="1" width="20.140625" style="0"/>
  </cols>
  <sheetData>
    <row r="3" spans="8:8">
      <c r="C3" s="6" t="s">
        <v>136</v>
      </c>
      <c r="D3" s="6" t="s">
        <v>366</v>
      </c>
      <c r="E3" s="6" t="s">
        <v>156</v>
      </c>
      <c r="F3" s="6" t="s">
        <v>55</v>
      </c>
    </row>
    <row r="4" spans="8:8" ht="17.25">
      <c r="C4" s="48" t="s">
        <v>492</v>
      </c>
      <c r="D4" s="49" t="s">
        <v>371</v>
      </c>
      <c r="E4" s="53">
        <v>1.0</v>
      </c>
      <c r="F4" s="52">
        <v>30000.0</v>
      </c>
    </row>
    <row r="5" spans="8:8">
      <c r="C5" s="48"/>
      <c r="D5" s="49"/>
      <c r="E5" s="57" t="s">
        <v>472</v>
      </c>
      <c r="F5" s="52">
        <v>28000.0</v>
      </c>
    </row>
    <row r="6" spans="8:8">
      <c r="C6" s="49"/>
      <c r="D6" s="49"/>
      <c r="E6" s="57" t="s">
        <v>473</v>
      </c>
      <c r="F6" s="52">
        <v>25000.0</v>
      </c>
    </row>
    <row r="7" spans="8:8">
      <c r="C7" s="49"/>
      <c r="D7" s="49"/>
      <c r="E7" s="57" t="s">
        <v>474</v>
      </c>
      <c r="F7" s="52">
        <v>22000.0</v>
      </c>
    </row>
    <row r="8" spans="8:8">
      <c r="E8" s="54" t="s">
        <v>490</v>
      </c>
      <c r="F8" s="56">
        <v>20000.0</v>
      </c>
    </row>
    <row r="11" spans="8:8">
      <c r="C11" s="66" t="s">
        <v>372</v>
      </c>
      <c r="D11" s="66"/>
      <c r="E11" s="66"/>
      <c r="F11" s="13" t="s">
        <v>328</v>
      </c>
    </row>
    <row r="12" spans="8:8">
      <c r="C12" s="59"/>
      <c r="D12" s="13"/>
      <c r="E12" s="13"/>
      <c r="F12" s="13"/>
    </row>
    <row r="13" spans="8:8">
      <c r="C13" s="67" t="s">
        <v>373</v>
      </c>
      <c r="D13" s="67"/>
      <c r="E13" s="67"/>
      <c r="F13" s="67"/>
    </row>
    <row r="14" spans="8:8">
      <c r="C14" s="59"/>
      <c r="D14" s="13"/>
      <c r="E14" s="13"/>
      <c r="F14" s="13"/>
    </row>
    <row r="16" spans="8:8" ht="75.0">
      <c r="C16" s="68" t="s">
        <v>491</v>
      </c>
      <c r="D16" s="68"/>
      <c r="E16" s="68"/>
      <c r="F16" s="68"/>
    </row>
    <row r="17" spans="8:8">
      <c r="B17" s="49"/>
      <c r="C17" s="49"/>
      <c r="D17" s="49"/>
      <c r="E17" s="70"/>
    </row>
    <row r="18" spans="8:8">
      <c r="B18" s="49"/>
      <c r="C18" s="49"/>
      <c r="D18" s="49"/>
      <c r="E18" s="70"/>
    </row>
    <row r="21" spans="8:8">
      <c r="B21" s="58"/>
      <c r="C21" s="58"/>
      <c r="D21" s="58"/>
      <c r="E21" s="13"/>
    </row>
    <row r="22" spans="8:8">
      <c r="B22" s="59"/>
      <c r="C22" s="13"/>
      <c r="D22" s="13"/>
      <c r="E22" s="13"/>
    </row>
    <row r="23" spans="8:8">
      <c r="B23" s="60"/>
      <c r="C23" s="60"/>
      <c r="D23" s="60"/>
      <c r="E23" s="60"/>
    </row>
    <row r="24" spans="8:8">
      <c r="B24" s="59"/>
      <c r="C24" s="13"/>
      <c r="D24" s="13"/>
      <c r="E24" s="13"/>
    </row>
  </sheetData>
  <mergeCells count="2">
    <mergeCell ref="B21:D21"/>
    <mergeCell ref="B23:E23"/>
  </mergeCells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sheetPr>
    <tabColor rgb="FFFFC000"/>
  </sheetPr>
  <dimension ref="C1:AM52"/>
  <sheetViews>
    <sheetView workbookViewId="0" topLeftCell="A16">
      <selection activeCell="L58" sqref="L58"/>
    </sheetView>
  </sheetViews>
  <sheetFormatPr defaultRowHeight="15.0" defaultColWidth="11"/>
  <cols>
    <col min="1" max="2" customWidth="0" width="11.0" style="71"/>
    <col min="3" max="3" customWidth="1" bestFit="1" width="55.42578" style="71"/>
    <col min="4" max="4" customWidth="1" bestFit="1" width="32.85547" style="71"/>
    <col min="5" max="16384" customWidth="0" width="11.0" style="71"/>
  </cols>
  <sheetData>
    <row r="3" spans="8:8" ht="18.0">
      <c r="C3" s="72" t="s">
        <v>385</v>
      </c>
      <c r="D3" s="73"/>
      <c r="E3" s="73"/>
    </row>
    <row r="5" spans="8:8">
      <c r="C5" s="74" t="s">
        <v>374</v>
      </c>
      <c r="D5" s="74" t="s">
        <v>375</v>
      </c>
      <c r="E5" s="74" t="s">
        <v>376</v>
      </c>
    </row>
    <row r="6" spans="8:8">
      <c r="C6" s="75" t="s">
        <v>377</v>
      </c>
      <c r="D6" s="75" t="s">
        <v>378</v>
      </c>
      <c r="E6" s="76">
        <v>10000.0</v>
      </c>
    </row>
    <row r="7" spans="8:8" ht="30.0">
      <c r="C7" s="75" t="s">
        <v>379</v>
      </c>
      <c r="D7" s="75" t="s">
        <v>378</v>
      </c>
      <c r="E7" s="75" t="s">
        <v>380</v>
      </c>
    </row>
    <row r="8" spans="8:8" ht="30.0">
      <c r="C8" s="75" t="s">
        <v>381</v>
      </c>
      <c r="D8" s="75" t="s">
        <v>382</v>
      </c>
      <c r="E8" s="75" t="s">
        <v>380</v>
      </c>
    </row>
    <row r="9" spans="8:8">
      <c r="C9" s="75" t="s">
        <v>383</v>
      </c>
      <c r="D9" s="75" t="s">
        <v>384</v>
      </c>
      <c r="E9" s="75">
        <v>50.0</v>
      </c>
    </row>
    <row r="10" spans="8:8" ht="17.25">
      <c r="C10" s="77" t="s">
        <v>504</v>
      </c>
      <c r="D10" s="77" t="s">
        <v>505</v>
      </c>
      <c r="E10" s="78" t="s">
        <v>284</v>
      </c>
    </row>
    <row r="12" spans="8:8" ht="18.0">
      <c r="C12" s="72" t="s">
        <v>392</v>
      </c>
      <c r="D12" s="73"/>
      <c r="E12" s="73"/>
    </row>
    <row r="14" spans="8:8">
      <c r="C14" s="74" t="s">
        <v>386</v>
      </c>
      <c r="D14" s="74" t="s">
        <v>375</v>
      </c>
      <c r="E14" s="74" t="s">
        <v>376</v>
      </c>
    </row>
    <row r="15" spans="8:8" ht="30.0">
      <c r="C15" s="75" t="s">
        <v>387</v>
      </c>
      <c r="D15" s="75" t="s">
        <v>388</v>
      </c>
      <c r="E15" s="75">
        <v>50.0</v>
      </c>
    </row>
    <row r="16" spans="8:8">
      <c r="C16" s="75" t="s">
        <v>389</v>
      </c>
      <c r="D16" s="75" t="s">
        <v>390</v>
      </c>
      <c r="E16" s="75">
        <v>500.0</v>
      </c>
    </row>
    <row r="17" spans="8:8">
      <c r="C17" s="75" t="s">
        <v>391</v>
      </c>
      <c r="D17" s="75" t="s">
        <v>390</v>
      </c>
      <c r="E17" s="75">
        <v>1000.0</v>
      </c>
    </row>
    <row r="21" spans="8:8" ht="18.0">
      <c r="C21" s="79" t="s">
        <v>398</v>
      </c>
      <c r="D21" s="79"/>
      <c r="E21" s="79"/>
    </row>
    <row r="23" spans="8:8">
      <c r="C23" s="74" t="s">
        <v>397</v>
      </c>
      <c r="D23" s="74" t="s">
        <v>393</v>
      </c>
      <c r="E23" s="74" t="s">
        <v>376</v>
      </c>
    </row>
    <row r="24" spans="8:8">
      <c r="C24" s="75" t="s">
        <v>394</v>
      </c>
      <c r="D24" s="75" t="s">
        <v>395</v>
      </c>
      <c r="E24" s="75">
        <v>500.0</v>
      </c>
    </row>
    <row r="25" spans="8:8" ht="30.0">
      <c r="C25" s="75"/>
      <c r="D25" s="75" t="s">
        <v>396</v>
      </c>
      <c r="E25" s="75" t="s">
        <v>380</v>
      </c>
    </row>
    <row r="28" spans="8:8" ht="18.0">
      <c r="C28" s="80" t="s">
        <v>406</v>
      </c>
      <c r="D28" s="80"/>
      <c r="E28" s="80"/>
    </row>
    <row r="30" spans="8:8">
      <c r="C30" s="64" t="s">
        <v>393</v>
      </c>
      <c r="D30" s="64" t="s">
        <v>399</v>
      </c>
      <c r="E30" s="64" t="s">
        <v>376</v>
      </c>
    </row>
    <row r="31" spans="8:8" ht="30.0">
      <c r="C31" s="65" t="s">
        <v>400</v>
      </c>
      <c r="D31" s="65" t="s">
        <v>401</v>
      </c>
      <c r="E31" s="65" t="s">
        <v>402</v>
      </c>
    </row>
    <row r="32" spans="8:8" ht="30.0">
      <c r="C32" s="65" t="s">
        <v>403</v>
      </c>
      <c r="D32" s="65" t="s">
        <v>404</v>
      </c>
      <c r="E32" s="65" t="s">
        <v>380</v>
      </c>
    </row>
    <row r="33" spans="8:8" ht="30.0">
      <c r="C33" s="65" t="s">
        <v>405</v>
      </c>
      <c r="D33" s="65" t="s">
        <v>404</v>
      </c>
      <c r="E33" s="65" t="s">
        <v>380</v>
      </c>
    </row>
    <row r="37" spans="8:8" ht="18.0">
      <c r="C37" s="79" t="s">
        <v>409</v>
      </c>
      <c r="D37" s="79"/>
      <c r="E37" s="79"/>
    </row>
    <row r="39" spans="8:8">
      <c r="C39" s="64" t="s">
        <v>386</v>
      </c>
      <c r="D39" s="64" t="s">
        <v>376</v>
      </c>
    </row>
    <row r="40" spans="8:8">
      <c r="C40" s="65" t="s">
        <v>407</v>
      </c>
      <c r="D40" s="81">
        <v>30000.0</v>
      </c>
    </row>
    <row r="41" spans="8:8">
      <c r="C41" s="65" t="s">
        <v>408</v>
      </c>
      <c r="D41" s="81">
        <v>40000.0</v>
      </c>
    </row>
    <row r="44" spans="8:8" ht="18.0">
      <c r="C44" s="79" t="s">
        <v>506</v>
      </c>
      <c r="D44" s="79"/>
      <c r="E44" s="79"/>
    </row>
    <row r="46" spans="8:8">
      <c r="C46" s="78" t="s">
        <v>152</v>
      </c>
      <c r="D46" s="82" t="s">
        <v>510</v>
      </c>
    </row>
    <row r="47" spans="8:8">
      <c r="C47" s="78" t="s">
        <v>148</v>
      </c>
      <c r="D47" s="82" t="s">
        <v>511</v>
      </c>
    </row>
    <row r="48" spans="8:8">
      <c r="C48" s="78" t="s">
        <v>265</v>
      </c>
      <c r="D48" s="82" t="s">
        <v>508</v>
      </c>
    </row>
    <row r="49" spans="8:8">
      <c r="C49" s="78" t="s">
        <v>283</v>
      </c>
      <c r="D49" s="82" t="s">
        <v>509</v>
      </c>
    </row>
    <row r="50" spans="8:8">
      <c r="C50" s="78" t="s">
        <v>290</v>
      </c>
      <c r="D50" s="82" t="s">
        <v>507</v>
      </c>
    </row>
    <row r="51" spans="8:8">
      <c r="C51" s="78" t="s">
        <v>513</v>
      </c>
      <c r="D51" s="82" t="s">
        <v>270</v>
      </c>
    </row>
    <row r="52" spans="8:8">
      <c r="C52" s="78" t="s">
        <v>512</v>
      </c>
      <c r="D52" s="82" t="s">
        <v>507</v>
      </c>
    </row>
  </sheetData>
  <mergeCells count="4">
    <mergeCell ref="C21:E21"/>
    <mergeCell ref="C28:E28"/>
    <mergeCell ref="C37:E37"/>
    <mergeCell ref="C44:E44"/>
  </mergeCells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C1:AN70"/>
  <sheetViews>
    <sheetView workbookViewId="0" zoomScale="52">
      <selection activeCell="G63" sqref="G63"/>
    </sheetView>
  </sheetViews>
  <sheetFormatPr defaultRowHeight="15.0" defaultColWidth="11"/>
  <cols>
    <col min="1" max="2" customWidth="0" width="11.0" style="83"/>
    <col min="3" max="3" customWidth="1" width="20.710938" style="83"/>
    <col min="4" max="4" customWidth="1" width="20.855469" style="83"/>
    <col min="5" max="16384" customWidth="0" width="11.0" style="83"/>
  </cols>
  <sheetData>
    <row r="4" spans="8:8" ht="18.0">
      <c r="C4" s="79" t="s">
        <v>417</v>
      </c>
      <c r="D4" s="79"/>
      <c r="E4" s="79"/>
      <c r="F4" s="79"/>
    </row>
    <row r="6" spans="8:8" ht="30.0">
      <c r="C6" s="74" t="s">
        <v>410</v>
      </c>
      <c r="D6" s="74" t="s">
        <v>411</v>
      </c>
      <c r="E6" s="74" t="s">
        <v>156</v>
      </c>
      <c r="F6" s="74" t="s">
        <v>376</v>
      </c>
    </row>
    <row r="7" spans="8:8">
      <c r="C7" s="65" t="s">
        <v>151</v>
      </c>
      <c r="D7" s="65" t="s">
        <v>412</v>
      </c>
      <c r="E7" s="65" t="s">
        <v>413</v>
      </c>
      <c r="F7" s="81">
        <v>25000.0</v>
      </c>
    </row>
    <row r="8" spans="8:8">
      <c r="C8" s="65"/>
      <c r="D8" s="65"/>
      <c r="E8" s="65" t="s">
        <v>414</v>
      </c>
      <c r="F8" s="81">
        <v>20000.0</v>
      </c>
    </row>
    <row r="9" spans="8:8">
      <c r="C9" s="65"/>
      <c r="D9" s="65"/>
      <c r="E9" s="65" t="s">
        <v>415</v>
      </c>
      <c r="F9" s="81">
        <v>15000.0</v>
      </c>
    </row>
    <row r="10" spans="8:8">
      <c r="C10" s="65" t="s">
        <v>151</v>
      </c>
      <c r="D10" s="65" t="s">
        <v>416</v>
      </c>
      <c r="E10" s="65" t="s">
        <v>413</v>
      </c>
      <c r="F10" s="81">
        <v>30000.0</v>
      </c>
    </row>
    <row r="11" spans="8:8">
      <c r="C11" s="65"/>
      <c r="D11" s="65"/>
      <c r="E11" s="65" t="s">
        <v>414</v>
      </c>
      <c r="F11" s="81">
        <v>24000.0</v>
      </c>
    </row>
    <row r="12" spans="8:8">
      <c r="C12" s="65"/>
      <c r="D12" s="65"/>
      <c r="E12" s="65" t="s">
        <v>415</v>
      </c>
      <c r="F12" s="81">
        <v>18000.0</v>
      </c>
    </row>
    <row r="13" spans="8:8">
      <c r="C13" s="65"/>
      <c r="D13" s="65"/>
      <c r="E13" s="65"/>
      <c r="F13" s="81"/>
    </row>
    <row r="14" spans="8:8">
      <c r="C14" s="65"/>
      <c r="D14" s="65"/>
      <c r="E14" s="65"/>
      <c r="F14" s="81"/>
    </row>
    <row r="16" spans="8:8" ht="18.0">
      <c r="C16" s="79" t="s">
        <v>418</v>
      </c>
      <c r="D16" s="79"/>
      <c r="E16" s="79"/>
      <c r="F16" s="79"/>
    </row>
    <row r="18" spans="8:8" ht="30.0">
      <c r="C18" s="74" t="s">
        <v>410</v>
      </c>
      <c r="D18" s="74" t="s">
        <v>411</v>
      </c>
      <c r="E18" s="74" t="s">
        <v>156</v>
      </c>
      <c r="F18" s="74" t="s">
        <v>376</v>
      </c>
    </row>
    <row r="19" spans="8:8">
      <c r="C19" s="65" t="s">
        <v>152</v>
      </c>
      <c r="D19" s="65" t="s">
        <v>412</v>
      </c>
      <c r="E19" s="65" t="s">
        <v>413</v>
      </c>
      <c r="F19" s="81">
        <v>32000.0</v>
      </c>
    </row>
    <row r="20" spans="8:8">
      <c r="C20" s="65"/>
      <c r="D20" s="65"/>
      <c r="E20" s="65" t="s">
        <v>414</v>
      </c>
      <c r="F20" s="81">
        <v>25000.0</v>
      </c>
    </row>
    <row r="21" spans="8:8">
      <c r="C21" s="65"/>
      <c r="D21" s="65"/>
      <c r="E21" s="65" t="s">
        <v>415</v>
      </c>
      <c r="F21" s="81">
        <v>18000.0</v>
      </c>
    </row>
    <row r="22" spans="8:8">
      <c r="C22" s="65" t="s">
        <v>152</v>
      </c>
      <c r="D22" s="65" t="s">
        <v>416</v>
      </c>
      <c r="E22" s="65" t="s">
        <v>413</v>
      </c>
      <c r="F22" s="81">
        <v>40000.0</v>
      </c>
    </row>
    <row r="23" spans="8:8">
      <c r="C23" s="65"/>
      <c r="D23" s="65"/>
      <c r="E23" s="65" t="s">
        <v>414</v>
      </c>
      <c r="F23" s="81">
        <v>32000.0</v>
      </c>
    </row>
    <row r="24" spans="8:8">
      <c r="C24" s="65"/>
      <c r="D24" s="65"/>
      <c r="E24" s="65" t="s">
        <v>415</v>
      </c>
      <c r="F24" s="81">
        <v>25000.0</v>
      </c>
    </row>
    <row r="25" spans="8:8">
      <c r="C25" s="65"/>
      <c r="D25" s="65"/>
      <c r="E25" s="65"/>
      <c r="F25" s="81"/>
    </row>
    <row r="26" spans="8:8">
      <c r="C26" s="65"/>
      <c r="D26" s="65"/>
      <c r="E26" s="65"/>
      <c r="F26" s="81"/>
    </row>
    <row r="28" spans="8:8" ht="18.0">
      <c r="C28" s="79" t="s">
        <v>419</v>
      </c>
      <c r="D28" s="79"/>
      <c r="E28" s="79"/>
      <c r="F28" s="79"/>
    </row>
    <row r="30" spans="8:8" ht="30.0">
      <c r="C30" s="64" t="s">
        <v>410</v>
      </c>
      <c r="D30" s="64" t="s">
        <v>411</v>
      </c>
      <c r="E30" s="64" t="s">
        <v>156</v>
      </c>
      <c r="F30" s="64" t="s">
        <v>376</v>
      </c>
    </row>
    <row r="31" spans="8:8">
      <c r="C31" s="65" t="s">
        <v>152</v>
      </c>
      <c r="D31" s="65" t="s">
        <v>412</v>
      </c>
      <c r="E31" s="65" t="s">
        <v>413</v>
      </c>
      <c r="F31" s="81">
        <v>35000.0</v>
      </c>
    </row>
    <row r="32" spans="8:8">
      <c r="C32" s="65"/>
      <c r="D32" s="65"/>
      <c r="E32" s="65" t="s">
        <v>414</v>
      </c>
      <c r="F32" s="81">
        <v>28000.0</v>
      </c>
    </row>
    <row r="33" spans="8:8">
      <c r="C33" s="65"/>
      <c r="D33" s="65"/>
      <c r="E33" s="65" t="s">
        <v>415</v>
      </c>
      <c r="F33" s="81">
        <v>20000.0</v>
      </c>
    </row>
    <row r="34" spans="8:8">
      <c r="C34" s="65" t="s">
        <v>152</v>
      </c>
      <c r="D34" s="65" t="s">
        <v>416</v>
      </c>
      <c r="E34" s="65" t="s">
        <v>413</v>
      </c>
      <c r="F34" s="81">
        <v>43000.0</v>
      </c>
    </row>
    <row r="35" spans="8:8">
      <c r="C35" s="65"/>
      <c r="D35" s="65"/>
      <c r="E35" s="65" t="s">
        <v>414</v>
      </c>
      <c r="F35" s="81">
        <v>35000.0</v>
      </c>
    </row>
    <row r="36" spans="8:8">
      <c r="C36" s="65"/>
      <c r="D36" s="65"/>
      <c r="E36" s="65" t="s">
        <v>415</v>
      </c>
      <c r="F36" s="81">
        <v>28000.0</v>
      </c>
    </row>
    <row r="39" spans="8:8" ht="18.75">
      <c r="C39" s="84" t="s">
        <v>421</v>
      </c>
      <c r="D39" s="84"/>
      <c r="E39" s="84"/>
      <c r="F39" s="84"/>
    </row>
    <row r="41" spans="8:8" ht="30.0">
      <c r="C41" s="64" t="s">
        <v>410</v>
      </c>
      <c r="D41" s="64" t="s">
        <v>411</v>
      </c>
      <c r="E41" s="64" t="s">
        <v>156</v>
      </c>
      <c r="F41" s="64" t="s">
        <v>376</v>
      </c>
    </row>
    <row r="42" spans="8:8">
      <c r="C42" s="65" t="s">
        <v>420</v>
      </c>
      <c r="D42" s="65" t="s">
        <v>412</v>
      </c>
      <c r="E42" s="65" t="s">
        <v>413</v>
      </c>
      <c r="F42" s="81">
        <v>40000.0</v>
      </c>
    </row>
    <row r="43" spans="8:8">
      <c r="C43" s="65"/>
      <c r="D43" s="65"/>
      <c r="E43" s="65" t="s">
        <v>414</v>
      </c>
      <c r="F43" s="81">
        <v>33000.0</v>
      </c>
    </row>
    <row r="44" spans="8:8">
      <c r="C44" s="65"/>
      <c r="D44" s="65"/>
      <c r="E44" s="65" t="s">
        <v>415</v>
      </c>
      <c r="F44" s="81">
        <v>25000.0</v>
      </c>
    </row>
    <row r="45" spans="8:8">
      <c r="C45" s="65" t="s">
        <v>420</v>
      </c>
      <c r="D45" s="65" t="s">
        <v>416</v>
      </c>
      <c r="E45" s="65" t="s">
        <v>413</v>
      </c>
      <c r="F45" s="81">
        <v>48000.0</v>
      </c>
    </row>
    <row r="46" spans="8:8">
      <c r="C46" s="65"/>
      <c r="D46" s="65"/>
      <c r="E46" s="65" t="s">
        <v>414</v>
      </c>
      <c r="F46" s="81">
        <v>40000.0</v>
      </c>
    </row>
    <row r="47" spans="8:8">
      <c r="C47" s="65"/>
      <c r="D47" s="65"/>
      <c r="E47" s="65" t="s">
        <v>415</v>
      </c>
      <c r="F47" s="81">
        <v>33000.0</v>
      </c>
    </row>
    <row r="50" spans="8:8" ht="18.0">
      <c r="C50" s="85" t="s">
        <v>422</v>
      </c>
      <c r="D50" s="85"/>
      <c r="E50" s="85"/>
      <c r="F50" s="85"/>
    </row>
    <row r="51" spans="8:8">
      <c r="C51" s="86"/>
      <c r="D51" s="86"/>
      <c r="E51" s="86"/>
      <c r="F51" s="86"/>
    </row>
    <row r="52" spans="8:8" ht="30.0">
      <c r="C52" s="87" t="s">
        <v>410</v>
      </c>
      <c r="D52" s="87" t="s">
        <v>156</v>
      </c>
      <c r="E52" s="87" t="s">
        <v>376</v>
      </c>
      <c r="F52" s="86"/>
    </row>
    <row r="53" spans="8:8">
      <c r="C53" s="88" t="s">
        <v>424</v>
      </c>
      <c r="D53" s="89" t="s">
        <v>414</v>
      </c>
      <c r="E53" s="90">
        <v>3500.0</v>
      </c>
      <c r="F53" s="86"/>
    </row>
    <row r="54" spans="8:8">
      <c r="C54" s="88"/>
      <c r="D54" s="88" t="s">
        <v>415</v>
      </c>
      <c r="E54" s="90">
        <v>2500.0</v>
      </c>
      <c r="F54" s="86"/>
    </row>
    <row r="55" spans="8:8">
      <c r="C55" s="86"/>
      <c r="D55" s="86" t="s">
        <v>423</v>
      </c>
      <c r="E55" s="91">
        <v>2000.0</v>
      </c>
      <c r="F55" s="86"/>
    </row>
    <row r="56" spans="8:8">
      <c r="C56" s="86"/>
      <c r="D56" s="86"/>
      <c r="E56" s="91"/>
      <c r="F56" s="86"/>
    </row>
    <row r="57" spans="8:8" ht="30.0">
      <c r="C57" s="87" t="s">
        <v>410</v>
      </c>
      <c r="D57" s="87" t="s">
        <v>156</v>
      </c>
      <c r="E57" s="87" t="s">
        <v>376</v>
      </c>
      <c r="F57" s="86"/>
    </row>
    <row r="58" spans="8:8">
      <c r="C58" s="88" t="s">
        <v>151</v>
      </c>
      <c r="D58" s="89" t="s">
        <v>414</v>
      </c>
      <c r="E58" s="90">
        <v>5000.0</v>
      </c>
      <c r="F58" s="86"/>
    </row>
    <row r="59" spans="8:8">
      <c r="C59" s="88"/>
      <c r="D59" s="88" t="s">
        <v>415</v>
      </c>
      <c r="E59" s="90">
        <v>4000.0</v>
      </c>
      <c r="F59" s="86"/>
    </row>
    <row r="60" spans="8:8">
      <c r="C60" s="86"/>
      <c r="D60" s="86" t="s">
        <v>423</v>
      </c>
      <c r="E60" s="91">
        <v>3500.0</v>
      </c>
      <c r="F60" s="86"/>
    </row>
    <row r="62" spans="8:8" ht="30.0">
      <c r="C62" s="87" t="s">
        <v>410</v>
      </c>
      <c r="D62" s="87" t="s">
        <v>156</v>
      </c>
      <c r="E62" s="87" t="s">
        <v>376</v>
      </c>
    </row>
    <row r="63" spans="8:8">
      <c r="C63" s="88" t="s">
        <v>152</v>
      </c>
      <c r="D63" s="89" t="s">
        <v>414</v>
      </c>
      <c r="E63" s="90">
        <v>8000.0</v>
      </c>
    </row>
    <row r="64" spans="8:8">
      <c r="C64" s="88"/>
      <c r="D64" s="88" t="s">
        <v>415</v>
      </c>
      <c r="E64" s="90">
        <v>6500.0</v>
      </c>
    </row>
    <row r="65" spans="8:8">
      <c r="C65" s="86"/>
      <c r="D65" s="86" t="s">
        <v>423</v>
      </c>
      <c r="E65" s="91">
        <v>5000.0</v>
      </c>
    </row>
    <row r="67" spans="8:8" ht="30.0">
      <c r="C67" s="87" t="s">
        <v>410</v>
      </c>
      <c r="D67" s="87" t="s">
        <v>156</v>
      </c>
      <c r="E67" s="87" t="s">
        <v>376</v>
      </c>
    </row>
    <row r="68" spans="8:8">
      <c r="C68" s="88" t="s">
        <v>148</v>
      </c>
      <c r="D68" s="89" t="s">
        <v>414</v>
      </c>
      <c r="E68" s="90">
        <v>15000.0</v>
      </c>
    </row>
    <row r="69" spans="8:8">
      <c r="C69" s="88"/>
      <c r="D69" s="88" t="s">
        <v>415</v>
      </c>
      <c r="E69" s="90">
        <v>12000.0</v>
      </c>
    </row>
    <row r="70" spans="8:8">
      <c r="C70" s="86"/>
      <c r="D70" s="86" t="s">
        <v>423</v>
      </c>
      <c r="E70" s="91">
        <v>8000.0</v>
      </c>
    </row>
  </sheetData>
  <mergeCells count="5">
    <mergeCell ref="C4:F4"/>
    <mergeCell ref="C16:F16"/>
    <mergeCell ref="C28:F28"/>
    <mergeCell ref="C39:F39"/>
    <mergeCell ref="C50:F50"/>
  </mergeCells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C1:AN70"/>
  <sheetViews>
    <sheetView workbookViewId="0" topLeftCell="A44">
      <selection activeCell="C52" sqref="C52:E55"/>
    </sheetView>
  </sheetViews>
  <sheetFormatPr defaultRowHeight="15.0" defaultColWidth="11"/>
  <cols>
    <col min="1" max="2" customWidth="0" width="11.0" style="83"/>
    <col min="3" max="3" customWidth="1" width="20.710938" style="83"/>
    <col min="4" max="4" customWidth="1" width="20.855469" style="83"/>
    <col min="5" max="16384" customWidth="0" width="11.0" style="83"/>
  </cols>
  <sheetData>
    <row r="4" spans="8:8" ht="18.0">
      <c r="C4" s="79" t="s">
        <v>425</v>
      </c>
      <c r="D4" s="79"/>
      <c r="E4" s="79"/>
      <c r="F4" s="79"/>
    </row>
    <row r="6" spans="8:8" ht="30.0">
      <c r="C6" s="2" t="s">
        <v>410</v>
      </c>
      <c r="D6" s="2" t="s">
        <v>411</v>
      </c>
      <c r="E6" s="2" t="s">
        <v>156</v>
      </c>
      <c r="F6" s="2" t="s">
        <v>376</v>
      </c>
    </row>
    <row r="7" spans="8:8">
      <c r="C7" s="3" t="s">
        <v>151</v>
      </c>
      <c r="D7" s="3" t="s">
        <v>412</v>
      </c>
      <c r="E7" s="3" t="s">
        <v>413</v>
      </c>
      <c r="F7" s="4">
        <v>37000.0</v>
      </c>
    </row>
    <row r="8" spans="8:8">
      <c r="C8" s="3"/>
      <c r="D8" s="3"/>
      <c r="E8" s="3" t="s">
        <v>414</v>
      </c>
      <c r="F8" s="4">
        <v>32000.0</v>
      </c>
    </row>
    <row r="9" spans="8:8">
      <c r="C9" s="3"/>
      <c r="D9" s="3"/>
      <c r="E9" s="3" t="s">
        <v>415</v>
      </c>
      <c r="F9" s="4">
        <v>27000.0</v>
      </c>
    </row>
    <row r="10" spans="8:8">
      <c r="C10" s="3" t="s">
        <v>151</v>
      </c>
      <c r="D10" s="3" t="s">
        <v>416</v>
      </c>
      <c r="E10" s="3" t="s">
        <v>413</v>
      </c>
      <c r="F10" s="4">
        <v>42000.0</v>
      </c>
    </row>
    <row r="11" spans="8:8">
      <c r="C11" s="3"/>
      <c r="D11" s="3"/>
      <c r="E11" s="3" t="s">
        <v>414</v>
      </c>
      <c r="F11" s="4">
        <v>36000.0</v>
      </c>
    </row>
    <row r="12" spans="8:8">
      <c r="C12" s="3"/>
      <c r="D12" s="3"/>
      <c r="E12" s="3" t="s">
        <v>415</v>
      </c>
      <c r="F12" s="4">
        <v>32000.0</v>
      </c>
    </row>
    <row r="13" spans="8:8">
      <c r="C13" s="65"/>
      <c r="D13" s="65"/>
      <c r="E13" s="65"/>
      <c r="F13" s="81"/>
    </row>
    <row r="14" spans="8:8">
      <c r="C14" s="65"/>
      <c r="D14" s="65"/>
      <c r="E14" s="65"/>
      <c r="F14" s="81"/>
    </row>
    <row r="16" spans="8:8" ht="18.0">
      <c r="C16" s="79" t="s">
        <v>426</v>
      </c>
      <c r="D16" s="79"/>
      <c r="E16" s="79"/>
      <c r="F16" s="79"/>
    </row>
    <row r="18" spans="8:8" ht="30.0">
      <c r="C18" s="2" t="s">
        <v>410</v>
      </c>
      <c r="D18" s="2" t="s">
        <v>411</v>
      </c>
      <c r="E18" s="2" t="s">
        <v>156</v>
      </c>
      <c r="F18" s="2" t="s">
        <v>376</v>
      </c>
    </row>
    <row r="19" spans="8:8">
      <c r="C19" s="3" t="s">
        <v>152</v>
      </c>
      <c r="D19" s="3" t="s">
        <v>412</v>
      </c>
      <c r="E19" s="3" t="s">
        <v>413</v>
      </c>
      <c r="F19" s="4">
        <v>44000.0</v>
      </c>
    </row>
    <row r="20" spans="8:8">
      <c r="C20" s="3"/>
      <c r="D20" s="3"/>
      <c r="E20" s="3" t="s">
        <v>414</v>
      </c>
      <c r="F20" s="4">
        <v>37000.0</v>
      </c>
    </row>
    <row r="21" spans="8:8">
      <c r="C21" s="3"/>
      <c r="D21" s="3"/>
      <c r="E21" s="3" t="s">
        <v>415</v>
      </c>
      <c r="F21" s="4">
        <v>30000.0</v>
      </c>
    </row>
    <row r="22" spans="8:8">
      <c r="C22" s="3" t="s">
        <v>152</v>
      </c>
      <c r="D22" s="3" t="s">
        <v>416</v>
      </c>
      <c r="E22" s="3" t="s">
        <v>413</v>
      </c>
      <c r="F22" s="4">
        <v>52000.0</v>
      </c>
    </row>
    <row r="23" spans="8:8">
      <c r="C23" s="3"/>
      <c r="D23" s="3"/>
      <c r="E23" s="3" t="s">
        <v>414</v>
      </c>
      <c r="F23" s="4">
        <v>44000.0</v>
      </c>
    </row>
    <row r="24" spans="8:8">
      <c r="C24" s="3"/>
      <c r="D24" s="3"/>
      <c r="E24" s="3" t="s">
        <v>415</v>
      </c>
      <c r="F24" s="4">
        <v>37000.0</v>
      </c>
    </row>
    <row r="25" spans="8:8">
      <c r="C25" s="65"/>
      <c r="D25" s="65"/>
      <c r="E25" s="65"/>
      <c r="F25" s="81"/>
    </row>
    <row r="26" spans="8:8">
      <c r="C26" s="65"/>
      <c r="D26" s="65"/>
      <c r="E26" s="65"/>
      <c r="F26" s="81"/>
    </row>
    <row r="28" spans="8:8" ht="18.0">
      <c r="C28" s="79" t="s">
        <v>427</v>
      </c>
      <c r="D28" s="79"/>
      <c r="E28" s="79"/>
      <c r="F28" s="79"/>
    </row>
    <row r="30" spans="8:8" ht="30.0">
      <c r="C30" s="2" t="s">
        <v>410</v>
      </c>
      <c r="D30" s="2" t="s">
        <v>411</v>
      </c>
      <c r="E30" s="2" t="s">
        <v>156</v>
      </c>
      <c r="F30" s="2" t="s">
        <v>376</v>
      </c>
    </row>
    <row r="31" spans="8:8">
      <c r="C31" s="3" t="s">
        <v>152</v>
      </c>
      <c r="D31" s="3" t="s">
        <v>412</v>
      </c>
      <c r="E31" s="3" t="s">
        <v>413</v>
      </c>
      <c r="F31" s="4">
        <v>47000.0</v>
      </c>
    </row>
    <row r="32" spans="8:8">
      <c r="C32" s="3"/>
      <c r="D32" s="3"/>
      <c r="E32" s="3" t="s">
        <v>414</v>
      </c>
      <c r="F32" s="4">
        <v>40000.0</v>
      </c>
    </row>
    <row r="33" spans="8:8">
      <c r="C33" s="3"/>
      <c r="D33" s="3"/>
      <c r="E33" s="3" t="s">
        <v>415</v>
      </c>
      <c r="F33" s="4">
        <v>32000.0</v>
      </c>
    </row>
    <row r="34" spans="8:8">
      <c r="C34" s="3" t="s">
        <v>152</v>
      </c>
      <c r="D34" s="3" t="s">
        <v>416</v>
      </c>
      <c r="E34" s="3" t="s">
        <v>413</v>
      </c>
      <c r="F34" s="4">
        <v>55000.0</v>
      </c>
    </row>
    <row r="35" spans="8:8">
      <c r="C35" s="3"/>
      <c r="D35" s="3"/>
      <c r="E35" s="3" t="s">
        <v>414</v>
      </c>
      <c r="F35" s="4">
        <v>47000.0</v>
      </c>
    </row>
    <row r="36" spans="8:8">
      <c r="C36" s="3"/>
      <c r="D36" s="3"/>
      <c r="E36" s="3" t="s">
        <v>415</v>
      </c>
      <c r="F36" s="4">
        <v>40000.0</v>
      </c>
    </row>
    <row r="39" spans="8:8" ht="18.75">
      <c r="C39" s="84" t="s">
        <v>428</v>
      </c>
      <c r="D39" s="84"/>
      <c r="E39" s="84"/>
      <c r="F39" s="84"/>
    </row>
    <row r="41" spans="8:8" ht="30.0">
      <c r="C41" s="2" t="s">
        <v>410</v>
      </c>
      <c r="D41" s="2" t="s">
        <v>411</v>
      </c>
      <c r="E41" s="2" t="s">
        <v>156</v>
      </c>
      <c r="F41" s="2" t="s">
        <v>376</v>
      </c>
    </row>
    <row r="42" spans="8:8">
      <c r="C42" s="3" t="s">
        <v>420</v>
      </c>
      <c r="D42" s="3" t="s">
        <v>412</v>
      </c>
      <c r="E42" s="3" t="s">
        <v>413</v>
      </c>
      <c r="F42" s="4">
        <v>55000.0</v>
      </c>
    </row>
    <row r="43" spans="8:8">
      <c r="C43" s="3"/>
      <c r="D43" s="3"/>
      <c r="E43" s="3" t="s">
        <v>414</v>
      </c>
      <c r="F43" s="4">
        <v>48000.0</v>
      </c>
    </row>
    <row r="44" spans="8:8">
      <c r="C44" s="3"/>
      <c r="D44" s="3"/>
      <c r="E44" s="3" t="s">
        <v>415</v>
      </c>
      <c r="F44" s="4">
        <v>40000.0</v>
      </c>
    </row>
    <row r="45" spans="8:8">
      <c r="C45" s="3" t="s">
        <v>420</v>
      </c>
      <c r="D45" s="3" t="s">
        <v>416</v>
      </c>
      <c r="E45" s="3" t="s">
        <v>413</v>
      </c>
      <c r="F45" s="4">
        <v>62000.0</v>
      </c>
    </row>
    <row r="46" spans="8:8">
      <c r="C46" s="3"/>
      <c r="D46" s="3"/>
      <c r="E46" s="3" t="s">
        <v>414</v>
      </c>
      <c r="F46" s="4">
        <v>55000.0</v>
      </c>
    </row>
    <row r="47" spans="8:8">
      <c r="C47" s="3"/>
      <c r="D47" s="3"/>
      <c r="E47" s="3" t="s">
        <v>415</v>
      </c>
      <c r="F47" s="4">
        <v>48000.0</v>
      </c>
    </row>
    <row r="50" spans="8:8" ht="18.0">
      <c r="C50" s="85" t="s">
        <v>422</v>
      </c>
      <c r="D50" s="85"/>
      <c r="E50" s="85"/>
      <c r="F50" s="85"/>
    </row>
    <row r="51" spans="8:8">
      <c r="C51" s="86"/>
      <c r="D51" s="86"/>
      <c r="E51" s="86"/>
      <c r="F51" s="86"/>
    </row>
    <row r="52" spans="8:8" ht="30.0">
      <c r="C52" s="87" t="s">
        <v>410</v>
      </c>
      <c r="D52" s="87" t="s">
        <v>156</v>
      </c>
      <c r="E52" s="87" t="s">
        <v>376</v>
      </c>
      <c r="F52" s="86"/>
    </row>
    <row r="53" spans="8:8">
      <c r="C53" s="88" t="s">
        <v>424</v>
      </c>
      <c r="D53" s="89" t="s">
        <v>414</v>
      </c>
      <c r="E53" s="90">
        <v>3500.0</v>
      </c>
      <c r="F53" s="86"/>
    </row>
    <row r="54" spans="8:8">
      <c r="C54" s="88"/>
      <c r="D54" s="88" t="s">
        <v>415</v>
      </c>
      <c r="E54" s="90">
        <v>2500.0</v>
      </c>
      <c r="F54" s="86"/>
    </row>
    <row r="55" spans="8:8">
      <c r="C55" s="86"/>
      <c r="D55" s="86" t="s">
        <v>423</v>
      </c>
      <c r="E55" s="91">
        <v>2000.0</v>
      </c>
      <c r="F55" s="86"/>
    </row>
    <row r="56" spans="8:8">
      <c r="C56" s="86"/>
      <c r="D56" s="86"/>
      <c r="E56" s="91"/>
      <c r="F56" s="86"/>
    </row>
    <row r="57" spans="8:8" ht="30.0">
      <c r="C57" s="87" t="s">
        <v>410</v>
      </c>
      <c r="D57" s="87" t="s">
        <v>156</v>
      </c>
      <c r="E57" s="87" t="s">
        <v>376</v>
      </c>
      <c r="F57" s="86"/>
    </row>
    <row r="58" spans="8:8">
      <c r="C58" s="88" t="s">
        <v>151</v>
      </c>
      <c r="D58" s="89" t="s">
        <v>414</v>
      </c>
      <c r="E58" s="90">
        <v>5000.0</v>
      </c>
      <c r="F58" s="86"/>
    </row>
    <row r="59" spans="8:8">
      <c r="C59" s="88"/>
      <c r="D59" s="88" t="s">
        <v>415</v>
      </c>
      <c r="E59" s="90">
        <v>4000.0</v>
      </c>
      <c r="F59" s="86"/>
    </row>
    <row r="60" spans="8:8">
      <c r="C60" s="86"/>
      <c r="D60" s="86" t="s">
        <v>423</v>
      </c>
      <c r="E60" s="91">
        <v>3500.0</v>
      </c>
      <c r="F60" s="86"/>
    </row>
    <row r="62" spans="8:8" ht="30.0">
      <c r="C62" s="87" t="s">
        <v>410</v>
      </c>
      <c r="D62" s="87" t="s">
        <v>156</v>
      </c>
      <c r="E62" s="87" t="s">
        <v>376</v>
      </c>
    </row>
    <row r="63" spans="8:8">
      <c r="C63" s="88" t="s">
        <v>152</v>
      </c>
      <c r="D63" s="89" t="s">
        <v>414</v>
      </c>
      <c r="E63" s="90">
        <v>8000.0</v>
      </c>
    </row>
    <row r="64" spans="8:8">
      <c r="C64" s="88"/>
      <c r="D64" s="88" t="s">
        <v>415</v>
      </c>
      <c r="E64" s="90">
        <v>6500.0</v>
      </c>
    </row>
    <row r="65" spans="8:8">
      <c r="C65" s="86"/>
      <c r="D65" s="86" t="s">
        <v>423</v>
      </c>
      <c r="E65" s="91">
        <v>5000.0</v>
      </c>
    </row>
    <row r="67" spans="8:8" ht="30.0">
      <c r="C67" s="87" t="s">
        <v>410</v>
      </c>
      <c r="D67" s="87" t="s">
        <v>156</v>
      </c>
      <c r="E67" s="87" t="s">
        <v>376</v>
      </c>
    </row>
    <row r="68" spans="8:8">
      <c r="C68" s="88" t="s">
        <v>148</v>
      </c>
      <c r="D68" s="89" t="s">
        <v>414</v>
      </c>
      <c r="E68" s="90">
        <v>15000.0</v>
      </c>
    </row>
    <row r="69" spans="8:8">
      <c r="C69" s="88"/>
      <c r="D69" s="88" t="s">
        <v>415</v>
      </c>
      <c r="E69" s="90">
        <v>12000.0</v>
      </c>
    </row>
    <row r="70" spans="8:8">
      <c r="C70" s="86"/>
      <c r="D70" s="86" t="s">
        <v>423</v>
      </c>
      <c r="E70" s="91">
        <v>8000.0</v>
      </c>
    </row>
  </sheetData>
  <mergeCells count="5">
    <mergeCell ref="C4:F4"/>
    <mergeCell ref="C16:F16"/>
    <mergeCell ref="C28:F28"/>
    <mergeCell ref="C39:F39"/>
    <mergeCell ref="C50:F50"/>
  </mergeCells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B1:AM13"/>
  <sheetViews>
    <sheetView workbookViewId="0">
      <selection activeCell="E22" sqref="E22"/>
    </sheetView>
  </sheetViews>
  <sheetFormatPr defaultRowHeight="15.0" defaultColWidth="10"/>
  <cols>
    <col min="2" max="2" customWidth="1" width="35.710938" style="0"/>
  </cols>
  <sheetData>
    <row r="3" spans="8:8">
      <c r="B3" s="6" t="s">
        <v>429</v>
      </c>
      <c r="C3" s="6" t="s">
        <v>156</v>
      </c>
      <c r="D3" s="6" t="s">
        <v>376</v>
      </c>
      <c r="E3" s="2"/>
    </row>
    <row r="4" spans="8:8" ht="30.0">
      <c r="B4" s="49" t="s">
        <v>430</v>
      </c>
      <c r="C4" s="49" t="s">
        <v>431</v>
      </c>
      <c r="D4" s="76">
        <v>13000.0</v>
      </c>
      <c r="E4" s="3"/>
    </row>
    <row r="5" spans="8:8">
      <c r="B5" s="49"/>
      <c r="C5" s="49" t="s">
        <v>432</v>
      </c>
      <c r="D5" s="76">
        <v>11000.0</v>
      </c>
      <c r="E5" s="3"/>
    </row>
    <row r="6" spans="8:8">
      <c r="B6" s="49"/>
      <c r="C6" s="49" t="s">
        <v>415</v>
      </c>
      <c r="D6" s="76">
        <v>9000.0</v>
      </c>
    </row>
    <row r="7" spans="8:8">
      <c r="B7" s="48"/>
      <c r="C7" s="49"/>
      <c r="D7" s="76"/>
    </row>
    <row r="8" spans="8:8">
      <c r="B8" s="14" t="s">
        <v>433</v>
      </c>
      <c r="C8" s="49"/>
      <c r="D8" s="76"/>
    </row>
    <row r="9" spans="8:8">
      <c r="B9" s="3"/>
      <c r="C9" s="49"/>
      <c r="D9" s="76"/>
    </row>
    <row r="10" spans="8:8">
      <c r="B10" s="87" t="s">
        <v>410</v>
      </c>
      <c r="C10" s="87" t="s">
        <v>156</v>
      </c>
      <c r="D10" s="87" t="s">
        <v>376</v>
      </c>
    </row>
    <row r="11" spans="8:8">
      <c r="B11" s="88" t="s">
        <v>424</v>
      </c>
      <c r="C11" s="89" t="s">
        <v>414</v>
      </c>
      <c r="D11" s="90">
        <v>3500.0</v>
      </c>
    </row>
    <row r="12" spans="8:8">
      <c r="B12" s="88"/>
      <c r="C12" s="88" t="s">
        <v>415</v>
      </c>
      <c r="D12" s="90">
        <v>2500.0</v>
      </c>
    </row>
    <row r="13" spans="8:8">
      <c r="B13" s="86"/>
      <c r="C13" s="86" t="s">
        <v>423</v>
      </c>
      <c r="D13" s="91">
        <v>2000.0</v>
      </c>
    </row>
  </sheetData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="http://schemas.openxmlformats.org/spreadsheetml/2006/main">
  <dimension ref="B1:AM13"/>
  <sheetViews>
    <sheetView workbookViewId="0">
      <selection activeCell="E22" sqref="E22"/>
    </sheetView>
  </sheetViews>
  <sheetFormatPr defaultRowHeight="15.0" defaultColWidth="10"/>
  <cols>
    <col min="2" max="2" customWidth="1" width="35.710938" style="0"/>
  </cols>
  <sheetData>
    <row r="3" spans="8:8">
      <c r="B3" s="6" t="s">
        <v>429</v>
      </c>
      <c r="C3" s="6" t="s">
        <v>156</v>
      </c>
      <c r="D3" s="6" t="s">
        <v>376</v>
      </c>
      <c r="E3" s="2"/>
    </row>
    <row r="4" spans="8:8" ht="30.0">
      <c r="B4" s="49" t="s">
        <v>430</v>
      </c>
      <c r="C4" s="49" t="s">
        <v>431</v>
      </c>
      <c r="D4" s="76">
        <v>13000.0</v>
      </c>
      <c r="E4" s="3"/>
    </row>
    <row r="5" spans="8:8">
      <c r="B5" s="49"/>
      <c r="C5" s="49" t="s">
        <v>432</v>
      </c>
      <c r="D5" s="76">
        <v>11000.0</v>
      </c>
      <c r="E5" s="3"/>
    </row>
    <row r="6" spans="8:8">
      <c r="B6" s="49"/>
      <c r="C6" s="49" t="s">
        <v>415</v>
      </c>
      <c r="D6" s="76">
        <v>9000.0</v>
      </c>
    </row>
    <row r="7" spans="8:8">
      <c r="B7" s="48"/>
      <c r="C7" s="49"/>
      <c r="D7" s="76"/>
    </row>
    <row r="8" spans="8:8">
      <c r="B8" s="14" t="s">
        <v>433</v>
      </c>
      <c r="C8" s="49"/>
      <c r="D8" s="76"/>
    </row>
    <row r="9" spans="8:8">
      <c r="B9" s="3"/>
      <c r="C9" s="49"/>
      <c r="D9" s="76"/>
    </row>
    <row r="10" spans="8:8">
      <c r="B10" s="87" t="s">
        <v>410</v>
      </c>
      <c r="C10" s="87" t="s">
        <v>156</v>
      </c>
      <c r="D10" s="87" t="s">
        <v>376</v>
      </c>
    </row>
    <row r="11" spans="8:8">
      <c r="B11" s="88" t="s">
        <v>424</v>
      </c>
      <c r="C11" s="89" t="s">
        <v>414</v>
      </c>
      <c r="D11" s="90">
        <v>3500.0</v>
      </c>
    </row>
    <row r="12" spans="8:8">
      <c r="B12" s="88"/>
      <c r="C12" s="88" t="s">
        <v>415</v>
      </c>
      <c r="D12" s="90">
        <v>2500.0</v>
      </c>
    </row>
    <row r="13" spans="8:8">
      <c r="B13" s="86"/>
      <c r="C13" s="86" t="s">
        <v>423</v>
      </c>
      <c r="D13" s="91">
        <v>2000.0</v>
      </c>
    </row>
  </sheetData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="http://schemas.openxmlformats.org/spreadsheetml/2006/main">
  <dimension ref="B1:AM13"/>
  <sheetViews>
    <sheetView workbookViewId="0">
      <selection activeCell="E22" sqref="E22"/>
    </sheetView>
  </sheetViews>
  <sheetFormatPr defaultRowHeight="15.0" defaultColWidth="10"/>
  <cols>
    <col min="2" max="2" customWidth="1" width="35.710938" style="0"/>
  </cols>
  <sheetData>
    <row r="3" spans="8:8">
      <c r="B3" s="6" t="s">
        <v>429</v>
      </c>
      <c r="C3" s="6" t="s">
        <v>156</v>
      </c>
      <c r="D3" s="6" t="s">
        <v>376</v>
      </c>
      <c r="E3" s="2"/>
    </row>
    <row r="4" spans="8:8" ht="30.0">
      <c r="B4" s="49" t="s">
        <v>430</v>
      </c>
      <c r="C4" s="49" t="s">
        <v>431</v>
      </c>
      <c r="D4" s="76">
        <v>13000.0</v>
      </c>
      <c r="E4" s="3"/>
    </row>
    <row r="5" spans="8:8">
      <c r="B5" s="49"/>
      <c r="C5" s="49" t="s">
        <v>432</v>
      </c>
      <c r="D5" s="76">
        <v>11000.0</v>
      </c>
      <c r="E5" s="3"/>
    </row>
    <row r="6" spans="8:8">
      <c r="B6" s="49"/>
      <c r="C6" s="49" t="s">
        <v>415</v>
      </c>
      <c r="D6" s="76">
        <v>9000.0</v>
      </c>
    </row>
    <row r="7" spans="8:8">
      <c r="B7" s="48"/>
      <c r="C7" s="49"/>
      <c r="D7" s="76"/>
    </row>
    <row r="8" spans="8:8">
      <c r="B8" s="14" t="s">
        <v>433</v>
      </c>
      <c r="C8" s="49"/>
      <c r="D8" s="76"/>
    </row>
    <row r="9" spans="8:8">
      <c r="B9" s="3"/>
      <c r="C9" s="49"/>
      <c r="D9" s="76"/>
    </row>
    <row r="10" spans="8:8">
      <c r="B10" s="87" t="s">
        <v>410</v>
      </c>
      <c r="C10" s="87" t="s">
        <v>156</v>
      </c>
      <c r="D10" s="87" t="s">
        <v>376</v>
      </c>
    </row>
    <row r="11" spans="8:8">
      <c r="B11" s="88" t="s">
        <v>424</v>
      </c>
      <c r="C11" s="89" t="s">
        <v>414</v>
      </c>
      <c r="D11" s="90">
        <v>3500.0</v>
      </c>
    </row>
    <row r="12" spans="8:8">
      <c r="B12" s="88"/>
      <c r="C12" s="88" t="s">
        <v>415</v>
      </c>
      <c r="D12" s="90">
        <v>2500.0</v>
      </c>
    </row>
    <row r="13" spans="8:8">
      <c r="B13" s="86"/>
      <c r="C13" s="86" t="s">
        <v>423</v>
      </c>
      <c r="D13" s="91">
        <v>2000.0</v>
      </c>
    </row>
  </sheetData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="http://schemas.openxmlformats.org/spreadsheetml/2006/main">
  <dimension ref="C1:AO8"/>
  <sheetViews>
    <sheetView workbookViewId="0">
      <selection activeCell="G16" sqref="G16"/>
    </sheetView>
  </sheetViews>
  <sheetFormatPr defaultRowHeight="15.0" defaultColWidth="10"/>
  <sheetData>
    <row r="5" spans="8:8" ht="18.0">
      <c r="C5" s="92" t="s">
        <v>435</v>
      </c>
      <c r="D5" s="92"/>
      <c r="E5" s="92"/>
      <c r="F5" s="92"/>
      <c r="G5" s="92"/>
    </row>
    <row r="7" spans="8:8">
      <c r="C7" s="2" t="s">
        <v>156</v>
      </c>
      <c r="D7" s="2" t="s">
        <v>434</v>
      </c>
      <c r="E7" s="2" t="s">
        <v>431</v>
      </c>
      <c r="F7" s="2" t="s">
        <v>432</v>
      </c>
      <c r="G7" s="2" t="s">
        <v>415</v>
      </c>
    </row>
    <row r="8" spans="8:8">
      <c r="C8" s="8" t="s">
        <v>376</v>
      </c>
      <c r="D8" s="4">
        <v>15000.0</v>
      </c>
      <c r="E8" s="4">
        <v>13000.0</v>
      </c>
      <c r="F8" s="4">
        <v>11000.0</v>
      </c>
      <c r="G8" s="4">
        <v>9000.0</v>
      </c>
    </row>
  </sheetData>
  <mergeCells count="1">
    <mergeCell ref="C5:G5"/>
  </mergeCells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="http://schemas.openxmlformats.org/spreadsheetml/2006/main">
  <sheetPr>
    <tabColor rgb="FFFF0000"/>
  </sheetPr>
  <dimension ref="C1:AS8"/>
  <sheetViews>
    <sheetView workbookViewId="0">
      <selection activeCell="P42" sqref="P42"/>
    </sheetView>
  </sheetViews>
  <sheetFormatPr defaultRowHeight="15.0" defaultColWidth="10"/>
  <sheetData>
    <row r="5" spans="8:8" ht="18.0">
      <c r="C5" s="92" t="s">
        <v>436</v>
      </c>
      <c r="D5" s="92"/>
      <c r="E5" s="92"/>
      <c r="F5" s="92"/>
      <c r="G5" s="92"/>
    </row>
    <row r="7" spans="8:8">
      <c r="C7" s="2" t="s">
        <v>156</v>
      </c>
      <c r="D7" s="2" t="s">
        <v>434</v>
      </c>
      <c r="E7" s="2" t="s">
        <v>431</v>
      </c>
      <c r="F7" s="2" t="s">
        <v>432</v>
      </c>
      <c r="G7" s="2" t="s">
        <v>437</v>
      </c>
      <c r="H7" s="2" t="s">
        <v>438</v>
      </c>
      <c r="I7" s="93" t="s">
        <v>264</v>
      </c>
      <c r="J7" s="93" t="s">
        <v>460</v>
      </c>
      <c r="K7" s="93" t="s">
        <v>514</v>
      </c>
    </row>
    <row r="8" spans="8:8">
      <c r="C8" s="8" t="s">
        <v>376</v>
      </c>
      <c r="D8" s="4">
        <v>25000.0</v>
      </c>
      <c r="E8" s="4">
        <v>22000.0</v>
      </c>
      <c r="F8" s="4">
        <v>18000.0</v>
      </c>
      <c r="G8" s="4">
        <v>15000.0</v>
      </c>
      <c r="H8" s="4">
        <v>12000.0</v>
      </c>
      <c r="I8" s="56">
        <v>10000.0</v>
      </c>
      <c r="J8" s="94">
        <v>9000.0</v>
      </c>
      <c r="K8" s="94">
        <v>8000.0</v>
      </c>
    </row>
  </sheetData>
  <mergeCells count="1">
    <mergeCell ref="C5:G5"/>
  </mergeCells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="http://schemas.openxmlformats.org/spreadsheetml/2006/main">
  <sheetPr>
    <tabColor rgb="FFFFC000"/>
  </sheetPr>
  <dimension ref="C1:AP9"/>
  <sheetViews>
    <sheetView workbookViewId="0" topLeftCell="A4">
      <selection activeCell="G10" sqref="G10"/>
    </sheetView>
  </sheetViews>
  <sheetFormatPr defaultRowHeight="15.0" defaultColWidth="11"/>
  <cols>
    <col min="1" max="2" customWidth="0" width="11.0" style="5"/>
    <col min="3" max="3" customWidth="1" bestFit="1" width="23.570312" style="5"/>
    <col min="4" max="16384" customWidth="0" width="11.0" style="5"/>
  </cols>
  <sheetData>
    <row r="5" spans="8:8" ht="18.0">
      <c r="C5" s="95" t="s">
        <v>441</v>
      </c>
      <c r="D5" s="95"/>
      <c r="E5" s="95"/>
      <c r="F5" s="95"/>
      <c r="G5" s="95"/>
    </row>
    <row r="7" spans="8:8">
      <c r="C7" s="6" t="s">
        <v>156</v>
      </c>
      <c r="D7" s="6" t="s">
        <v>439</v>
      </c>
      <c r="E7" s="6" t="s">
        <v>440</v>
      </c>
      <c r="F7" s="6" t="s">
        <v>264</v>
      </c>
      <c r="G7" s="6"/>
      <c r="H7" s="6"/>
    </row>
    <row r="8" spans="8:8" ht="30.0">
      <c r="C8" s="48" t="s">
        <v>443</v>
      </c>
      <c r="D8" s="96">
        <v>3000.0</v>
      </c>
      <c r="E8" s="96">
        <v>2500.0</v>
      </c>
      <c r="F8" s="96">
        <v>2200.0</v>
      </c>
      <c r="G8" s="70"/>
      <c r="H8" s="70"/>
    </row>
    <row r="9" spans="8:8">
      <c r="C9" s="5" t="s">
        <v>442</v>
      </c>
      <c r="D9" s="97">
        <v>500.0</v>
      </c>
      <c r="E9" s="97">
        <v>400.0</v>
      </c>
      <c r="F9" s="97">
        <v>300.0</v>
      </c>
    </row>
  </sheetData>
  <mergeCells count="1">
    <mergeCell ref="C5:G5"/>
  </mergeCells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="http://schemas.openxmlformats.org/spreadsheetml/2006/main">
  <dimension ref="C1:AP8"/>
  <sheetViews>
    <sheetView workbookViewId="0">
      <selection activeCell="C6" sqref="C6"/>
    </sheetView>
  </sheetViews>
  <sheetFormatPr defaultRowHeight="15.0" defaultColWidth="11"/>
  <cols>
    <col min="1" max="2" customWidth="0" width="11.0" style="5"/>
    <col min="3" max="3" customWidth="1" bestFit="1" width="23.570312" style="5"/>
    <col min="4" max="16384" customWidth="0" width="11.0" style="5"/>
  </cols>
  <sheetData>
    <row r="5" spans="8:8" ht="18.0">
      <c r="C5" s="95" t="s">
        <v>444</v>
      </c>
      <c r="D5" s="95"/>
      <c r="E5" s="95"/>
      <c r="F5" s="95"/>
      <c r="G5" s="95"/>
    </row>
    <row r="7" spans="8:8">
      <c r="C7" s="2" t="s">
        <v>156</v>
      </c>
      <c r="D7" s="2" t="s">
        <v>439</v>
      </c>
      <c r="E7" s="2" t="s">
        <v>440</v>
      </c>
      <c r="F7" s="2" t="s">
        <v>264</v>
      </c>
      <c r="G7" s="6"/>
      <c r="H7" s="6"/>
    </row>
    <row r="8" spans="8:8">
      <c r="C8" s="8" t="s">
        <v>376</v>
      </c>
      <c r="D8" s="4">
        <v>4000.0</v>
      </c>
      <c r="E8" s="4">
        <v>3500.0</v>
      </c>
      <c r="F8" s="4">
        <v>3000.0</v>
      </c>
      <c r="G8" s="70"/>
      <c r="H8" s="70"/>
    </row>
  </sheetData>
  <mergeCells count="1">
    <mergeCell ref="C5:G5"/>
  </mergeCells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="http://schemas.openxmlformats.org/spreadsheetml/2006/main">
  <dimension ref="C1:AP8"/>
  <sheetViews>
    <sheetView workbookViewId="0">
      <selection activeCell="P27" sqref="P27"/>
    </sheetView>
  </sheetViews>
  <sheetFormatPr defaultRowHeight="15.0" defaultColWidth="11"/>
  <cols>
    <col min="1" max="2" customWidth="0" width="11.0" style="5"/>
    <col min="3" max="3" customWidth="1" bestFit="1" width="23.570312" style="5"/>
    <col min="4" max="16384" customWidth="0" width="11.0" style="5"/>
  </cols>
  <sheetData>
    <row r="5" spans="8:8" ht="18.0">
      <c r="C5" s="95" t="s">
        <v>445</v>
      </c>
      <c r="D5" s="95"/>
      <c r="E5" s="95"/>
      <c r="F5" s="95"/>
      <c r="G5" s="95"/>
    </row>
    <row r="7" spans="8:8">
      <c r="C7" s="2" t="s">
        <v>156</v>
      </c>
      <c r="D7" s="2" t="s">
        <v>446</v>
      </c>
      <c r="E7" s="2" t="s">
        <v>447</v>
      </c>
      <c r="F7" s="2" t="s">
        <v>415</v>
      </c>
      <c r="G7" s="6"/>
      <c r="H7" s="6"/>
    </row>
    <row r="8" spans="8:8">
      <c r="C8" s="8" t="s">
        <v>376</v>
      </c>
      <c r="D8" s="4">
        <v>35000.0</v>
      </c>
      <c r="E8" s="4">
        <v>30000.0</v>
      </c>
      <c r="F8" s="4">
        <v>28000.0</v>
      </c>
      <c r="G8" s="70"/>
      <c r="H8" s="70"/>
    </row>
  </sheetData>
  <mergeCells count="1">
    <mergeCell ref="C5:G5"/>
  </mergeCells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="http://schemas.openxmlformats.org/spreadsheetml/2006/main">
  <dimension ref="C1:AP8"/>
  <sheetViews>
    <sheetView workbookViewId="0">
      <selection activeCell="C7" sqref="C7:F8"/>
    </sheetView>
  </sheetViews>
  <sheetFormatPr defaultRowHeight="15.0" defaultColWidth="11"/>
  <cols>
    <col min="1" max="2" customWidth="0" width="11.0" style="5"/>
    <col min="3" max="3" customWidth="1" bestFit="1" width="23.570312" style="5"/>
    <col min="4" max="16384" customWidth="0" width="11.0" style="5"/>
  </cols>
  <sheetData>
    <row r="5" spans="8:8" ht="18.0">
      <c r="C5" s="95" t="s">
        <v>448</v>
      </c>
      <c r="D5" s="95"/>
      <c r="E5" s="95"/>
      <c r="F5" s="95"/>
      <c r="G5" s="95"/>
    </row>
    <row r="7" spans="8:8">
      <c r="C7" s="2" t="s">
        <v>156</v>
      </c>
      <c r="D7" s="2" t="s">
        <v>446</v>
      </c>
      <c r="E7" s="2" t="s">
        <v>447</v>
      </c>
      <c r="F7" s="2" t="s">
        <v>415</v>
      </c>
      <c r="G7" s="6"/>
      <c r="H7" s="6"/>
    </row>
    <row r="8" spans="8:8">
      <c r="C8" s="8" t="s">
        <v>376</v>
      </c>
      <c r="D8" s="4">
        <v>60000.0</v>
      </c>
      <c r="E8" s="4">
        <v>50000.0</v>
      </c>
      <c r="F8" s="4">
        <v>45000.0</v>
      </c>
      <c r="G8" s="70"/>
      <c r="H8" s="70"/>
    </row>
  </sheetData>
  <mergeCells count="1">
    <mergeCell ref="C5:G5"/>
  </mergeCells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="http://schemas.openxmlformats.org/spreadsheetml/2006/main">
  <dimension ref="B1:AO6"/>
  <sheetViews>
    <sheetView workbookViewId="0">
      <selection activeCell="H22" sqref="H22"/>
    </sheetView>
  </sheetViews>
  <sheetFormatPr defaultRowHeight="15.0" defaultColWidth="11"/>
  <cols>
    <col min="1" max="1" customWidth="0" width="11.0" style="83"/>
    <col min="2" max="2" customWidth="1" width="19.285156" style="83"/>
    <col min="3" max="16384" customWidth="0" width="11.0" style="83"/>
  </cols>
  <sheetData>
    <row r="4" spans="8:8">
      <c r="B4" s="64" t="s">
        <v>449</v>
      </c>
      <c r="C4" s="64">
        <v>1.0</v>
      </c>
      <c r="D4" s="64" t="s">
        <v>450</v>
      </c>
      <c r="E4" s="64" t="s">
        <v>457</v>
      </c>
      <c r="F4" s="64" t="s">
        <v>451</v>
      </c>
      <c r="G4" s="64" t="s">
        <v>269</v>
      </c>
    </row>
    <row r="5" spans="8:8">
      <c r="B5" s="64" t="s">
        <v>452</v>
      </c>
      <c r="C5" s="65" t="s">
        <v>316</v>
      </c>
      <c r="D5" s="65" t="s">
        <v>310</v>
      </c>
      <c r="E5" s="65" t="s">
        <v>318</v>
      </c>
      <c r="F5" s="65" t="s">
        <v>342</v>
      </c>
      <c r="G5" s="65" t="s">
        <v>312</v>
      </c>
    </row>
    <row r="6" spans="8:8">
      <c r="B6" s="64" t="s">
        <v>453</v>
      </c>
      <c r="C6" s="65" t="s">
        <v>315</v>
      </c>
      <c r="D6" s="65" t="s">
        <v>317</v>
      </c>
      <c r="E6" s="65" t="s">
        <v>454</v>
      </c>
      <c r="F6" s="65" t="s">
        <v>455</v>
      </c>
      <c r="G6" s="64" t="s">
        <v>456</v>
      </c>
    </row>
  </sheetData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="http://schemas.openxmlformats.org/spreadsheetml/2006/main">
  <dimension ref="C1:AP6"/>
  <sheetViews>
    <sheetView workbookViewId="0" zoomScale="85">
      <selection activeCell="S48" sqref="S48"/>
    </sheetView>
  </sheetViews>
  <sheetFormatPr defaultRowHeight="15.0" defaultColWidth="10"/>
  <sheetData>
    <row r="5" spans="8:8">
      <c r="C5" s="2" t="s">
        <v>449</v>
      </c>
      <c r="D5" s="2">
        <v>1.0</v>
      </c>
      <c r="E5" s="2" t="s">
        <v>450</v>
      </c>
      <c r="F5" s="2">
        <v>5.0</v>
      </c>
      <c r="G5" s="2" t="s">
        <v>451</v>
      </c>
      <c r="H5" s="2" t="s">
        <v>269</v>
      </c>
    </row>
    <row r="6" spans="8:8">
      <c r="C6" s="8" t="s">
        <v>458</v>
      </c>
      <c r="D6" s="3" t="s">
        <v>459</v>
      </c>
      <c r="E6" s="3" t="s">
        <v>311</v>
      </c>
      <c r="F6" s="3" t="s">
        <v>313</v>
      </c>
      <c r="G6" s="3" t="s">
        <v>347</v>
      </c>
      <c r="H6" s="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ANS DESIGN PRINT 2</dc:creator>
  <cp:lastModifiedBy>Tom Frager</cp:lastModifiedBy>
  <dcterms:created xsi:type="dcterms:W3CDTF">2025-05-22T09:38:40Z</dcterms:created>
  <dcterms:modified xsi:type="dcterms:W3CDTF">2026-04-16T06:52:14Z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ade9d9143fe64575a6a154ce6055d188</vt:lpwstr>
  </property>
</Properties>
</file>